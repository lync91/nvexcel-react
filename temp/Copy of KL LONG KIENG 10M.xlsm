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nvexcel-react\"/>
    </mc:Choice>
  </mc:AlternateContent>
  <xr:revisionPtr revIDLastSave="0" documentId="8_{828F0788-0C9F-4566-9B85-28FAD853DDD7}" xr6:coauthVersionLast="44" xr6:coauthVersionMax="44" xr10:uidLastSave="{00000000-0000-0000-0000-000000000000}"/>
  <bookViews>
    <workbookView xWindow="-108" yWindow="-108" windowWidth="23256" windowHeight="12576" tabRatio="876" xr2:uid="{00000000-000D-0000-FFFF-FFFF00000000}"/>
  </bookViews>
  <sheets>
    <sheet name="TONG HOP" sheetId="28" r:id="rId1"/>
    <sheet name="TƯƠNG" sheetId="34" r:id="rId2"/>
    <sheet name="TƯỜNG" sheetId="22" state="hidden" r:id="rId3"/>
    <sheet name="SD DAI TRA" sheetId="24" r:id="rId4"/>
    <sheet name="SD COC THU" sheetId="25" r:id="rId5"/>
    <sheet name="LAN CAN" sheetId="23" r:id="rId6"/>
    <sheet name="CỌC" sheetId="26" r:id="rId7"/>
    <sheet name="HO GA" sheetId="27" r:id="rId8"/>
    <sheet name="MUONG" sheetId="29" r:id="rId9"/>
    <sheet name="Đào đắp" sheetId="30" r:id="rId10"/>
    <sheet name="KV THI CÔNG" sheetId="37" r:id="rId11"/>
    <sheet name="THG8" sheetId="38" state="hidden" r:id="rId12"/>
  </sheets>
  <functionGroups builtInGroupCount="19"/>
  <definedNames>
    <definedName name="ĐV" localSheetId="5">#REF!</definedName>
    <definedName name="ĐV">#REF!</definedName>
    <definedName name="_xlnm.Print_Area" localSheetId="6">CỌC!$A$1:$J$60</definedName>
    <definedName name="_xlnm.Print_Area" localSheetId="9">'Đào đắp'!$A$1:$AD$34</definedName>
    <definedName name="_xlnm.Print_Area" localSheetId="7">'HO GA'!$A$1:$J$80</definedName>
    <definedName name="_xlnm.Print_Area" localSheetId="5">'LAN CAN'!$A$25:$J$64</definedName>
    <definedName name="_xlnm.Print_Area" localSheetId="8">MUONG!$A$25:$J$42</definedName>
    <definedName name="_xlnm.Print_Area" localSheetId="3">'SD DAI TRA'!$A$1:$G$28</definedName>
    <definedName name="_xlnm.Print_Area" localSheetId="0">'TONG HOP'!$A$1:$I$204</definedName>
    <definedName name="_xlnm.Print_Area" localSheetId="1">TƯƠNG!$A$1:$J$398</definedName>
    <definedName name="_xlnm.Print_Area" localSheetId="2">TƯỜNG!$B$1:$J$342</definedName>
    <definedName name="_xlnm.Print_Area" localSheetId="11">'THG8'!$A:$D</definedName>
    <definedName name="_xlnm.Print_Titles" localSheetId="0">'TONG HOP'!$5:$5</definedName>
    <definedName name="_xlnm.Print_Titles" localSheetId="1">TƯƠNG!$29:$29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8" l="1"/>
  <c r="B1" i="38"/>
  <c r="A2" i="38"/>
  <c r="B2" i="38"/>
  <c r="A3" i="38"/>
  <c r="B3" i="38"/>
  <c r="C3" i="38"/>
  <c r="B4" i="38"/>
  <c r="C4" i="38"/>
  <c r="B5" i="38"/>
  <c r="C5" i="38"/>
  <c r="B6" i="38"/>
  <c r="C6" i="38"/>
  <c r="B7" i="38"/>
  <c r="C7" i="38"/>
  <c r="B8" i="38"/>
  <c r="C8" i="38"/>
  <c r="B9" i="38"/>
  <c r="C9" i="38"/>
  <c r="B10" i="38"/>
  <c r="C10" i="38"/>
  <c r="B11" i="38"/>
  <c r="C11" i="38"/>
  <c r="A13" i="38"/>
  <c r="B13" i="38"/>
  <c r="B14" i="38"/>
  <c r="C14" i="38"/>
  <c r="B15" i="38"/>
  <c r="C15" i="38"/>
  <c r="B16" i="38"/>
  <c r="C16" i="38"/>
  <c r="B17" i="38"/>
  <c r="C17" i="38"/>
  <c r="A19" i="38"/>
  <c r="B19" i="38"/>
  <c r="B20" i="38"/>
  <c r="C20" i="38"/>
  <c r="B21" i="38"/>
  <c r="C21" i="38"/>
  <c r="A23" i="38"/>
  <c r="B23" i="38"/>
  <c r="B24" i="38"/>
  <c r="C24" i="38"/>
  <c r="B25" i="38"/>
  <c r="C25" i="38"/>
  <c r="B26" i="38"/>
  <c r="C26" i="38"/>
  <c r="B27" i="38"/>
  <c r="C27" i="38"/>
  <c r="B28" i="38"/>
  <c r="C28" i="38"/>
  <c r="B29" i="38"/>
  <c r="C29" i="38"/>
  <c r="B30" i="38"/>
  <c r="C30" i="38"/>
  <c r="B31" i="38"/>
  <c r="C31" i="38"/>
  <c r="B32" i="38"/>
  <c r="C32" i="38"/>
  <c r="B33" i="38"/>
  <c r="C33" i="38"/>
  <c r="B34" i="38"/>
  <c r="C34" i="38"/>
  <c r="B35" i="38"/>
  <c r="C35" i="38"/>
  <c r="B36" i="38"/>
  <c r="C36" i="38"/>
  <c r="B37" i="38"/>
  <c r="C37" i="38"/>
  <c r="B38" i="38"/>
  <c r="C38" i="38"/>
  <c r="B39" i="38"/>
  <c r="C39" i="38"/>
  <c r="B40" i="38"/>
  <c r="C40" i="38"/>
  <c r="B41" i="38"/>
  <c r="C41" i="38"/>
  <c r="B42" i="38"/>
  <c r="C42" i="38"/>
  <c r="A44" i="38"/>
  <c r="B44" i="38"/>
  <c r="B45" i="38"/>
  <c r="C45" i="38"/>
  <c r="B46" i="38"/>
  <c r="C46" i="38"/>
  <c r="B47" i="38"/>
  <c r="C47" i="38"/>
  <c r="B48" i="38"/>
  <c r="C48" i="38"/>
  <c r="B49" i="38"/>
  <c r="C49" i="38"/>
  <c r="B50" i="38"/>
  <c r="C50" i="38"/>
  <c r="B51" i="38"/>
  <c r="C51" i="38"/>
  <c r="B52" i="38"/>
  <c r="C52" i="38"/>
  <c r="B53" i="38"/>
  <c r="C53" i="38"/>
  <c r="B54" i="38"/>
  <c r="C54" i="38"/>
  <c r="B55" i="38"/>
  <c r="C55" i="38"/>
  <c r="B56" i="38"/>
  <c r="C56" i="38"/>
  <c r="B57" i="38"/>
  <c r="C57" i="38"/>
  <c r="B58" i="38"/>
  <c r="C58" i="38"/>
  <c r="B59" i="38"/>
  <c r="C59" i="38"/>
  <c r="B60" i="38"/>
  <c r="C60" i="38"/>
  <c r="B61" i="38"/>
  <c r="C61" i="38"/>
  <c r="B62" i="38"/>
  <c r="C62" i="38"/>
  <c r="A64" i="38"/>
  <c r="B64" i="38"/>
  <c r="B65" i="38"/>
  <c r="C65" i="38"/>
  <c r="B66" i="38"/>
  <c r="C66" i="38"/>
  <c r="B67" i="38"/>
  <c r="C67" i="38"/>
  <c r="B68" i="38"/>
  <c r="C68" i="38"/>
  <c r="B69" i="38"/>
  <c r="C69" i="38"/>
  <c r="B70" i="38"/>
  <c r="C70" i="38"/>
  <c r="B71" i="38"/>
  <c r="C71" i="38"/>
  <c r="B72" i="38"/>
  <c r="C72" i="38"/>
  <c r="B73" i="38"/>
  <c r="C73" i="38"/>
  <c r="B74" i="38"/>
  <c r="C74" i="38"/>
  <c r="B75" i="38"/>
  <c r="C75" i="38"/>
  <c r="B76" i="38"/>
  <c r="C76" i="38"/>
  <c r="B77" i="38"/>
  <c r="C77" i="38"/>
  <c r="B78" i="38"/>
  <c r="C78" i="38"/>
  <c r="B79" i="38"/>
  <c r="C79" i="38"/>
  <c r="B80" i="38"/>
  <c r="C80" i="38"/>
  <c r="A82" i="38"/>
  <c r="B82" i="38"/>
  <c r="B83" i="38"/>
  <c r="C83" i="38"/>
  <c r="B84" i="38"/>
  <c r="C84" i="38"/>
  <c r="B85" i="38"/>
  <c r="C85" i="38"/>
  <c r="B86" i="38"/>
  <c r="C86" i="38"/>
  <c r="B87" i="38"/>
  <c r="C87" i="38"/>
  <c r="B88" i="38"/>
  <c r="C88" i="38"/>
  <c r="A90" i="38"/>
  <c r="B90" i="38"/>
  <c r="B91" i="38"/>
  <c r="C91" i="38"/>
  <c r="B92" i="38"/>
  <c r="C92" i="38"/>
  <c r="B93" i="38"/>
  <c r="C93" i="38"/>
  <c r="B94" i="38"/>
  <c r="C94" i="38"/>
  <c r="B95" i="38"/>
  <c r="C95" i="38"/>
  <c r="B96" i="38"/>
  <c r="C96" i="38"/>
  <c r="B97" i="38"/>
  <c r="C97" i="38"/>
  <c r="B98" i="38"/>
  <c r="C98" i="38"/>
  <c r="B99" i="38"/>
  <c r="C99" i="38"/>
  <c r="A101" i="38"/>
  <c r="B101" i="38"/>
  <c r="B102" i="38"/>
  <c r="C102" i="38"/>
  <c r="B103" i="38"/>
  <c r="C103" i="38"/>
  <c r="B104" i="38"/>
  <c r="C104" i="38"/>
  <c r="B105" i="38"/>
  <c r="C105" i="38"/>
  <c r="B106" i="38"/>
  <c r="C106" i="38"/>
  <c r="B107" i="38"/>
  <c r="C107" i="38"/>
  <c r="B108" i="38"/>
  <c r="C108" i="38"/>
  <c r="B109" i="38"/>
  <c r="C109" i="38"/>
  <c r="A111" i="38"/>
  <c r="B111" i="38"/>
  <c r="B112" i="38"/>
  <c r="C112" i="38"/>
  <c r="B113" i="38"/>
  <c r="C113" i="38"/>
  <c r="B114" i="38"/>
  <c r="C114" i="38"/>
  <c r="B115" i="38"/>
  <c r="C115" i="38"/>
  <c r="B116" i="38"/>
  <c r="C116" i="38"/>
  <c r="B117" i="38"/>
  <c r="C117" i="38"/>
  <c r="B118" i="38"/>
  <c r="C118" i="38"/>
  <c r="B119" i="38"/>
  <c r="C119" i="38"/>
  <c r="B120" i="38"/>
  <c r="C120" i="38"/>
  <c r="B121" i="38"/>
  <c r="C121" i="38"/>
  <c r="B122" i="38"/>
  <c r="C122" i="38"/>
  <c r="A124" i="38"/>
  <c r="B124" i="38"/>
  <c r="A125" i="38"/>
  <c r="B125" i="38"/>
  <c r="B126" i="38"/>
  <c r="C126" i="38"/>
  <c r="B127" i="38"/>
  <c r="C127" i="38"/>
  <c r="B128" i="38"/>
  <c r="C128" i="38"/>
  <c r="B129" i="38"/>
  <c r="C129" i="38"/>
  <c r="B130" i="38"/>
  <c r="C130" i="38"/>
  <c r="B131" i="38"/>
  <c r="C131" i="38"/>
  <c r="B132" i="38"/>
  <c r="C132" i="38"/>
  <c r="B133" i="38"/>
  <c r="C133" i="38"/>
  <c r="B134" i="38"/>
  <c r="C134" i="38"/>
  <c r="B135" i="38"/>
  <c r="C135" i="38"/>
  <c r="B136" i="38"/>
  <c r="C136" i="38"/>
  <c r="B137" i="38"/>
  <c r="C137" i="38"/>
  <c r="B138" i="38"/>
  <c r="C138" i="38"/>
  <c r="B139" i="38"/>
  <c r="C139" i="38"/>
  <c r="B140" i="38"/>
  <c r="C140" i="38"/>
  <c r="B141" i="38"/>
  <c r="C141" i="38"/>
  <c r="B142" i="38"/>
  <c r="C142" i="38"/>
  <c r="B143" i="38"/>
  <c r="C143" i="38"/>
  <c r="B144" i="38"/>
  <c r="C144" i="38"/>
  <c r="B145" i="38"/>
  <c r="C145" i="38"/>
  <c r="B146" i="38"/>
  <c r="C146" i="38"/>
  <c r="A148" i="38"/>
  <c r="B148" i="38"/>
  <c r="B149" i="38"/>
  <c r="C149" i="38"/>
  <c r="B150" i="38"/>
  <c r="C150" i="38"/>
  <c r="B151" i="38"/>
  <c r="C151" i="38"/>
  <c r="B152" i="38"/>
  <c r="C152" i="38"/>
  <c r="A154" i="38"/>
  <c r="B154" i="38"/>
  <c r="B155" i="38"/>
  <c r="C155" i="38"/>
  <c r="B156" i="38"/>
  <c r="C156" i="38"/>
  <c r="B157" i="38"/>
  <c r="C157" i="38"/>
  <c r="B158" i="38"/>
  <c r="C158" i="38"/>
  <c r="B159" i="38"/>
  <c r="C159" i="38"/>
  <c r="B160" i="38"/>
  <c r="C160" i="38"/>
  <c r="B161" i="38"/>
  <c r="C161" i="38"/>
  <c r="B162" i="38"/>
  <c r="C162" i="38"/>
  <c r="B163" i="38"/>
  <c r="C163" i="38"/>
  <c r="D163" i="38"/>
  <c r="D25" i="37" l="1"/>
  <c r="A136" i="28" l="1"/>
  <c r="A122" i="38" s="1"/>
  <c r="A68" i="28"/>
  <c r="A60" i="38" s="1"/>
  <c r="A64" i="28"/>
  <c r="A56" i="38" s="1"/>
  <c r="A65" i="28"/>
  <c r="A57" i="38" s="1"/>
  <c r="A66" i="28"/>
  <c r="A58" i="38" s="1"/>
  <c r="A49" i="28"/>
  <c r="A40" i="38" s="1"/>
  <c r="A45" i="28"/>
  <c r="A36" i="38" s="1"/>
  <c r="A46" i="28"/>
  <c r="A37" i="38" s="1"/>
  <c r="A47" i="28"/>
  <c r="A38" i="38" s="1"/>
  <c r="E25" i="37"/>
  <c r="H136" i="28" l="1"/>
  <c r="I136" i="28" s="1"/>
  <c r="D122" i="38" s="1"/>
  <c r="H27" i="28"/>
  <c r="A122" i="28"/>
  <c r="A109" i="38" s="1"/>
  <c r="A111" i="28"/>
  <c r="A99" i="38" s="1"/>
  <c r="D24" i="25"/>
  <c r="D27" i="24"/>
  <c r="H377" i="34"/>
  <c r="F377" i="34"/>
  <c r="A377" i="34"/>
  <c r="H376" i="34"/>
  <c r="F376" i="34"/>
  <c r="A376" i="34"/>
  <c r="H375" i="34"/>
  <c r="F375" i="34"/>
  <c r="A375" i="34"/>
  <c r="H374" i="34"/>
  <c r="F374" i="34"/>
  <c r="G374" i="34" s="1"/>
  <c r="H373" i="34"/>
  <c r="F373" i="34"/>
  <c r="H372" i="34"/>
  <c r="F372" i="34"/>
  <c r="H371" i="34"/>
  <c r="A371" i="34"/>
  <c r="H370" i="34"/>
  <c r="F370" i="34"/>
  <c r="A370" i="34"/>
  <c r="H369" i="34"/>
  <c r="F369" i="34"/>
  <c r="A369" i="34"/>
  <c r="H368" i="34"/>
  <c r="I368" i="34" s="1"/>
  <c r="F368" i="34"/>
  <c r="A368" i="34"/>
  <c r="H367" i="34"/>
  <c r="I367" i="34" s="1"/>
  <c r="F367" i="34"/>
  <c r="A367" i="34"/>
  <c r="H366" i="34"/>
  <c r="I366" i="34" s="1"/>
  <c r="F366" i="34"/>
  <c r="A366" i="34"/>
  <c r="H365" i="34"/>
  <c r="I365" i="34" s="1"/>
  <c r="F365" i="34"/>
  <c r="A365" i="34"/>
  <c r="H364" i="34"/>
  <c r="I364" i="34" s="1"/>
  <c r="F364" i="34"/>
  <c r="A364" i="34"/>
  <c r="H363" i="34"/>
  <c r="F363" i="34"/>
  <c r="A363" i="34"/>
  <c r="H362" i="34"/>
  <c r="F362" i="34"/>
  <c r="A362" i="34"/>
  <c r="H361" i="34"/>
  <c r="F361" i="34"/>
  <c r="H360" i="34"/>
  <c r="F360" i="34"/>
  <c r="H359" i="34"/>
  <c r="F359" i="34"/>
  <c r="A359" i="34"/>
  <c r="H358" i="34"/>
  <c r="F358" i="34"/>
  <c r="H357" i="34"/>
  <c r="F357" i="34"/>
  <c r="H356" i="34"/>
  <c r="F356" i="34"/>
  <c r="A356" i="34"/>
  <c r="A382" i="34"/>
  <c r="A383" i="34"/>
  <c r="A384" i="34"/>
  <c r="A385" i="34"/>
  <c r="A386" i="34"/>
  <c r="A387" i="34"/>
  <c r="A388" i="34"/>
  <c r="A389" i="34"/>
  <c r="A390" i="34"/>
  <c r="A391" i="34"/>
  <c r="A392" i="34"/>
  <c r="A393" i="34"/>
  <c r="A394" i="34"/>
  <c r="A395" i="34"/>
  <c r="A396" i="34"/>
  <c r="A397" i="34"/>
  <c r="A398" i="34"/>
  <c r="G362" i="34"/>
  <c r="E24" i="25"/>
  <c r="G377" i="34"/>
  <c r="E25" i="24"/>
  <c r="G358" i="34"/>
  <c r="G375" i="34"/>
  <c r="G363" i="34"/>
  <c r="G370" i="34"/>
  <c r="G376" i="34"/>
  <c r="G369" i="34"/>
  <c r="G360" i="34"/>
  <c r="G361" i="34"/>
  <c r="E26" i="24"/>
  <c r="G357" i="34"/>
  <c r="E27" i="24"/>
  <c r="G373" i="34"/>
  <c r="G372" i="34"/>
  <c r="I374" i="34" l="1"/>
  <c r="H122" i="28"/>
  <c r="I122" i="28" s="1"/>
  <c r="D109" i="38" s="1"/>
  <c r="H111" i="28"/>
  <c r="I111" i="28" s="1"/>
  <c r="D99" i="38" s="1"/>
  <c r="I357" i="34"/>
  <c r="I361" i="34"/>
  <c r="I370" i="34"/>
  <c r="I358" i="34"/>
  <c r="I377" i="34"/>
  <c r="I360" i="34"/>
  <c r="I363" i="34"/>
  <c r="I376" i="34"/>
  <c r="I362" i="34"/>
  <c r="I369" i="34"/>
  <c r="I372" i="34"/>
  <c r="I373" i="34"/>
  <c r="I375" i="34"/>
  <c r="I359" i="34" l="1"/>
  <c r="I371" i="34"/>
  <c r="I356" i="34"/>
  <c r="H28" i="28"/>
  <c r="I28" i="28" s="1"/>
  <c r="D17" i="38" s="1"/>
  <c r="A28" i="28"/>
  <c r="A17" i="38" s="1"/>
  <c r="A124" i="28" l="1"/>
  <c r="A112" i="38" s="1"/>
  <c r="A125" i="28"/>
  <c r="A126" i="28"/>
  <c r="A127" i="28"/>
  <c r="A113" i="38" s="1"/>
  <c r="A128" i="28"/>
  <c r="A114" i="38" s="1"/>
  <c r="A129" i="28"/>
  <c r="A115" i="38" s="1"/>
  <c r="A130" i="28"/>
  <c r="A116" i="38" s="1"/>
  <c r="A131" i="28"/>
  <c r="A117" i="38" s="1"/>
  <c r="A132" i="28"/>
  <c r="A118" i="38" s="1"/>
  <c r="A133" i="28"/>
  <c r="A119" i="38" s="1"/>
  <c r="A134" i="28"/>
  <c r="A120" i="38" s="1"/>
  <c r="A135" i="28"/>
  <c r="A121" i="38" s="1"/>
  <c r="D24" i="37"/>
  <c r="D21" i="37"/>
  <c r="E6" i="37"/>
  <c r="G6" i="37" s="1"/>
  <c r="E5" i="37"/>
  <c r="G5" i="37" s="1"/>
  <c r="E3" i="37"/>
  <c r="G3" i="37" s="1"/>
  <c r="E16" i="37"/>
  <c r="E17" i="37"/>
  <c r="E22" i="37"/>
  <c r="E18" i="37"/>
  <c r="E24" i="37"/>
  <c r="E20" i="37"/>
  <c r="E4" i="37"/>
  <c r="E21" i="37"/>
  <c r="E19" i="37"/>
  <c r="E23" i="37"/>
  <c r="G8" i="37" l="1"/>
  <c r="E14" i="37" s="1"/>
  <c r="H125" i="28" s="1"/>
  <c r="I125" i="28" s="1"/>
  <c r="H135" i="28"/>
  <c r="H133" i="28"/>
  <c r="H131" i="28"/>
  <c r="H134" i="28"/>
  <c r="H128" i="28"/>
  <c r="H130" i="28"/>
  <c r="H129" i="28"/>
  <c r="H132" i="28"/>
  <c r="H127" i="28"/>
  <c r="G4" i="37"/>
  <c r="G9" i="37" s="1"/>
  <c r="E15" i="37" s="1"/>
  <c r="I129" i="28" l="1"/>
  <c r="D115" i="38" s="1"/>
  <c r="I131" i="28"/>
  <c r="D117" i="38" s="1"/>
  <c r="I127" i="28"/>
  <c r="D113" i="38" s="1"/>
  <c r="I130" i="28"/>
  <c r="D116" i="38" s="1"/>
  <c r="I133" i="28"/>
  <c r="D119" i="38" s="1"/>
  <c r="I135" i="28"/>
  <c r="D121" i="38" s="1"/>
  <c r="I128" i="28"/>
  <c r="D114" i="38" s="1"/>
  <c r="I132" i="28"/>
  <c r="D118" i="38" s="1"/>
  <c r="I134" i="28"/>
  <c r="D120" i="38" s="1"/>
  <c r="E13" i="37"/>
  <c r="H124" i="28" s="1"/>
  <c r="H126" i="28"/>
  <c r="I126" i="28" s="1"/>
  <c r="G7" i="37"/>
  <c r="I124" i="28" l="1"/>
  <c r="D112" i="38" s="1"/>
  <c r="I27" i="28"/>
  <c r="D16" i="38" s="1"/>
  <c r="A27" i="28"/>
  <c r="A16" i="38" s="1"/>
  <c r="A26" i="28"/>
  <c r="H214" i="34" l="1"/>
  <c r="H202" i="34"/>
  <c r="H52" i="34"/>
  <c r="A10" i="28" l="1"/>
  <c r="A5" i="38" s="1"/>
  <c r="N6" i="30"/>
  <c r="V6" i="30" s="1"/>
  <c r="N7" i="30"/>
  <c r="V7" i="30" s="1"/>
  <c r="N8" i="30"/>
  <c r="V8" i="30" s="1"/>
  <c r="N9" i="30"/>
  <c r="V9" i="30" s="1"/>
  <c r="N10" i="30"/>
  <c r="V10" i="30" s="1"/>
  <c r="N11" i="30"/>
  <c r="V11" i="30" s="1"/>
  <c r="N12" i="30"/>
  <c r="V12" i="30" s="1"/>
  <c r="N13" i="30"/>
  <c r="V13" i="30" s="1"/>
  <c r="N14" i="30"/>
  <c r="V14" i="30" s="1"/>
  <c r="N15" i="30"/>
  <c r="V15" i="30" s="1"/>
  <c r="N16" i="30"/>
  <c r="V16" i="30" s="1"/>
  <c r="N19" i="30"/>
  <c r="V19" i="30" s="1"/>
  <c r="N20" i="30"/>
  <c r="V20" i="30" s="1"/>
  <c r="N21" i="30"/>
  <c r="V21" i="30" s="1"/>
  <c r="N22" i="30"/>
  <c r="V22" i="30" s="1"/>
  <c r="N23" i="30"/>
  <c r="V23" i="30" s="1"/>
  <c r="N24" i="30"/>
  <c r="V24" i="30" s="1"/>
  <c r="N25" i="30"/>
  <c r="V25" i="30" s="1"/>
  <c r="N26" i="30"/>
  <c r="V26" i="30" s="1"/>
  <c r="N27" i="30"/>
  <c r="V27" i="30" s="1"/>
  <c r="N28" i="30"/>
  <c r="V28" i="30" s="1"/>
  <c r="N29" i="30"/>
  <c r="V29" i="30" s="1"/>
  <c r="N30" i="30"/>
  <c r="V30" i="30" s="1"/>
  <c r="N31" i="30"/>
  <c r="V31" i="30" s="1"/>
  <c r="N32" i="30"/>
  <c r="V32" i="30" s="1"/>
  <c r="N5" i="30"/>
  <c r="V5" i="30" s="1"/>
  <c r="V34" i="30" l="1"/>
  <c r="H10" i="28" s="1"/>
  <c r="I10" i="28" s="1"/>
  <c r="D5" i="38" s="1"/>
  <c r="F51" i="34"/>
  <c r="G51" i="34" s="1"/>
  <c r="I51" i="34" s="1"/>
  <c r="H75" i="34"/>
  <c r="F75" i="34"/>
  <c r="G75" i="34" s="1"/>
  <c r="H98" i="34"/>
  <c r="F98" i="34"/>
  <c r="G98" i="34" s="1"/>
  <c r="H121" i="34"/>
  <c r="F121" i="34"/>
  <c r="G121" i="34" s="1"/>
  <c r="H144" i="34"/>
  <c r="F144" i="34"/>
  <c r="G144" i="34" s="1"/>
  <c r="H167" i="34"/>
  <c r="F167" i="34"/>
  <c r="G167" i="34" s="1"/>
  <c r="H190" i="34"/>
  <c r="F190" i="34"/>
  <c r="G190" i="34" s="1"/>
  <c r="H213" i="34"/>
  <c r="F213" i="34"/>
  <c r="G213" i="34" s="1"/>
  <c r="H236" i="34"/>
  <c r="F236" i="34"/>
  <c r="G236" i="34" s="1"/>
  <c r="H259" i="34"/>
  <c r="F259" i="34"/>
  <c r="G259" i="34" s="1"/>
  <c r="H282" i="34"/>
  <c r="F282" i="34"/>
  <c r="G282" i="34" s="1"/>
  <c r="H305" i="34"/>
  <c r="F305" i="34"/>
  <c r="G305" i="34" s="1"/>
  <c r="H328" i="34"/>
  <c r="F328" i="34"/>
  <c r="G328" i="34" s="1"/>
  <c r="H351" i="34"/>
  <c r="F351" i="34"/>
  <c r="G351" i="34" s="1"/>
  <c r="I351" i="34" l="1"/>
  <c r="I305" i="34"/>
  <c r="I259" i="34"/>
  <c r="I213" i="34"/>
  <c r="I167" i="34"/>
  <c r="I121" i="34"/>
  <c r="I75" i="34"/>
  <c r="I328" i="34"/>
  <c r="I282" i="34"/>
  <c r="I236" i="34"/>
  <c r="I190" i="34"/>
  <c r="I144" i="34"/>
  <c r="I98" i="34"/>
  <c r="A87" i="28"/>
  <c r="A80" i="38" s="1"/>
  <c r="A88" i="28"/>
  <c r="H345" i="34"/>
  <c r="H352" i="34"/>
  <c r="H340" i="34"/>
  <c r="H322" i="34"/>
  <c r="H299" i="34"/>
  <c r="H276" i="34"/>
  <c r="H253" i="34"/>
  <c r="H230" i="34"/>
  <c r="H207" i="34"/>
  <c r="H184" i="34"/>
  <c r="H161" i="34"/>
  <c r="H145" i="34"/>
  <c r="H138" i="34"/>
  <c r="H133" i="34"/>
  <c r="H115" i="34"/>
  <c r="H110" i="34"/>
  <c r="H92" i="34"/>
  <c r="H87" i="34"/>
  <c r="H69" i="34"/>
  <c r="I69" i="34" s="1"/>
  <c r="H45" i="34"/>
  <c r="H38" i="34"/>
  <c r="H31" i="34"/>
  <c r="H32" i="34"/>
  <c r="H33" i="34"/>
  <c r="H34" i="34"/>
  <c r="H318" i="34"/>
  <c r="H319" i="34"/>
  <c r="H320" i="34"/>
  <c r="H321" i="34"/>
  <c r="H124" i="34"/>
  <c r="F124" i="34"/>
  <c r="A124" i="34"/>
  <c r="H123" i="34"/>
  <c r="F123" i="34"/>
  <c r="A123" i="34"/>
  <c r="H122" i="34"/>
  <c r="F122" i="34"/>
  <c r="A122" i="34"/>
  <c r="H120" i="34"/>
  <c r="F120" i="34"/>
  <c r="H119" i="34"/>
  <c r="F119" i="34"/>
  <c r="H118" i="34"/>
  <c r="A118" i="34"/>
  <c r="H117" i="34"/>
  <c r="F117" i="34"/>
  <c r="A117" i="34"/>
  <c r="H116" i="34"/>
  <c r="F116" i="34"/>
  <c r="A116" i="34"/>
  <c r="F115" i="34"/>
  <c r="A115" i="34"/>
  <c r="H114" i="34"/>
  <c r="F114" i="34"/>
  <c r="A114" i="34"/>
  <c r="H113" i="34"/>
  <c r="F113" i="34"/>
  <c r="A113" i="34"/>
  <c r="H112" i="34"/>
  <c r="F112" i="34"/>
  <c r="A112" i="34"/>
  <c r="H111" i="34"/>
  <c r="F111" i="34"/>
  <c r="A111" i="34"/>
  <c r="F110" i="34"/>
  <c r="A110" i="34"/>
  <c r="H109" i="34"/>
  <c r="F109" i="34"/>
  <c r="A109" i="34"/>
  <c r="H108" i="34"/>
  <c r="F108" i="34"/>
  <c r="H107" i="34"/>
  <c r="F107" i="34"/>
  <c r="H106" i="34"/>
  <c r="F106" i="34"/>
  <c r="A106" i="34"/>
  <c r="H105" i="34"/>
  <c r="F105" i="34"/>
  <c r="H104" i="34"/>
  <c r="F104" i="34"/>
  <c r="H103" i="34"/>
  <c r="F103" i="34"/>
  <c r="A103" i="34"/>
  <c r="F52" i="34"/>
  <c r="F39" i="34"/>
  <c r="F38" i="34"/>
  <c r="G116" i="34"/>
  <c r="G109" i="34"/>
  <c r="G39" i="34"/>
  <c r="G122" i="34"/>
  <c r="G119" i="34"/>
  <c r="G104" i="34"/>
  <c r="G105" i="34"/>
  <c r="G38" i="34"/>
  <c r="G117" i="34"/>
  <c r="G120" i="34"/>
  <c r="G110" i="34"/>
  <c r="G124" i="34"/>
  <c r="G108" i="34"/>
  <c r="G107" i="34"/>
  <c r="G123" i="34"/>
  <c r="G52" i="34"/>
  <c r="I52" i="34" l="1"/>
  <c r="I38" i="34"/>
  <c r="I39" i="34"/>
  <c r="I111" i="34"/>
  <c r="I115" i="34"/>
  <c r="I113" i="34"/>
  <c r="I112" i="34"/>
  <c r="I114" i="34"/>
  <c r="I108" i="34"/>
  <c r="I124" i="34"/>
  <c r="G106" i="34"/>
  <c r="I107" i="34"/>
  <c r="I110" i="34"/>
  <c r="I119" i="34"/>
  <c r="I116" i="34"/>
  <c r="I117" i="34"/>
  <c r="I123" i="34"/>
  <c r="I105" i="34"/>
  <c r="I109" i="34"/>
  <c r="I104" i="34"/>
  <c r="G103" i="34"/>
  <c r="I120" i="34"/>
  <c r="I122" i="34"/>
  <c r="G37" i="34"/>
  <c r="F49" i="34"/>
  <c r="H49" i="34"/>
  <c r="F50" i="34"/>
  <c r="H50" i="34"/>
  <c r="H354" i="34"/>
  <c r="F354" i="34"/>
  <c r="A354" i="34"/>
  <c r="H353" i="34"/>
  <c r="F353" i="34"/>
  <c r="A353" i="34"/>
  <c r="F352" i="34"/>
  <c r="A352" i="34"/>
  <c r="H350" i="34"/>
  <c r="F350" i="34"/>
  <c r="H349" i="34"/>
  <c r="F349" i="34"/>
  <c r="H348" i="34"/>
  <c r="A348" i="34"/>
  <c r="H347" i="34"/>
  <c r="F347" i="34"/>
  <c r="A347" i="34"/>
  <c r="H346" i="34"/>
  <c r="F346" i="34"/>
  <c r="A346" i="34"/>
  <c r="F345" i="34"/>
  <c r="A345" i="34"/>
  <c r="H344" i="34"/>
  <c r="F344" i="34"/>
  <c r="A344" i="34"/>
  <c r="H343" i="34"/>
  <c r="F343" i="34"/>
  <c r="A343" i="34"/>
  <c r="H342" i="34"/>
  <c r="F342" i="34"/>
  <c r="A342" i="34"/>
  <c r="H341" i="34"/>
  <c r="F341" i="34"/>
  <c r="A341" i="34"/>
  <c r="F340" i="34"/>
  <c r="A340" i="34"/>
  <c r="H339" i="34"/>
  <c r="F339" i="34"/>
  <c r="A339" i="34"/>
  <c r="H338" i="34"/>
  <c r="F338" i="34"/>
  <c r="H337" i="34"/>
  <c r="F337" i="34"/>
  <c r="H336" i="34"/>
  <c r="F336" i="34"/>
  <c r="A336" i="34"/>
  <c r="H335" i="34"/>
  <c r="F335" i="34"/>
  <c r="H334" i="34"/>
  <c r="F334" i="34"/>
  <c r="H333" i="34"/>
  <c r="F333" i="34"/>
  <c r="A333" i="34"/>
  <c r="H331" i="34"/>
  <c r="F331" i="34"/>
  <c r="A331" i="34"/>
  <c r="H330" i="34"/>
  <c r="F330" i="34"/>
  <c r="A330" i="34"/>
  <c r="H329" i="34"/>
  <c r="F329" i="34"/>
  <c r="A329" i="34"/>
  <c r="H327" i="34"/>
  <c r="F327" i="34"/>
  <c r="H326" i="34"/>
  <c r="F326" i="34"/>
  <c r="H325" i="34"/>
  <c r="A325" i="34"/>
  <c r="H324" i="34"/>
  <c r="F324" i="34"/>
  <c r="A324" i="34"/>
  <c r="H323" i="34"/>
  <c r="F323" i="34"/>
  <c r="A323" i="34"/>
  <c r="F322" i="34"/>
  <c r="A322" i="34"/>
  <c r="F321" i="34"/>
  <c r="A321" i="34"/>
  <c r="F320" i="34"/>
  <c r="A320" i="34"/>
  <c r="F319" i="34"/>
  <c r="A319" i="34"/>
  <c r="F318" i="34"/>
  <c r="A318" i="34"/>
  <c r="H317" i="34"/>
  <c r="F317" i="34"/>
  <c r="A317" i="34"/>
  <c r="H316" i="34"/>
  <c r="F316" i="34"/>
  <c r="A316" i="34"/>
  <c r="H315" i="34"/>
  <c r="F315" i="34"/>
  <c r="H314" i="34"/>
  <c r="F314" i="34"/>
  <c r="H313" i="34"/>
  <c r="F313" i="34"/>
  <c r="A313" i="34"/>
  <c r="H312" i="34"/>
  <c r="F312" i="34"/>
  <c r="H311" i="34"/>
  <c r="F311" i="34"/>
  <c r="H310" i="34"/>
  <c r="F310" i="34"/>
  <c r="A310" i="34"/>
  <c r="H308" i="34"/>
  <c r="F308" i="34"/>
  <c r="A308" i="34"/>
  <c r="H307" i="34"/>
  <c r="F307" i="34"/>
  <c r="A307" i="34"/>
  <c r="H306" i="34"/>
  <c r="F306" i="34"/>
  <c r="A306" i="34"/>
  <c r="H304" i="34"/>
  <c r="F304" i="34"/>
  <c r="H303" i="34"/>
  <c r="F303" i="34"/>
  <c r="H302" i="34"/>
  <c r="A302" i="34"/>
  <c r="H301" i="34"/>
  <c r="F301" i="34"/>
  <c r="A301" i="34"/>
  <c r="H300" i="34"/>
  <c r="F300" i="34"/>
  <c r="A300" i="34"/>
  <c r="F299" i="34"/>
  <c r="A299" i="34"/>
  <c r="H298" i="34"/>
  <c r="F298" i="34"/>
  <c r="A298" i="34"/>
  <c r="H297" i="34"/>
  <c r="F297" i="34"/>
  <c r="A297" i="34"/>
  <c r="H296" i="34"/>
  <c r="F296" i="34"/>
  <c r="A296" i="34"/>
  <c r="H295" i="34"/>
  <c r="F295" i="34"/>
  <c r="A295" i="34"/>
  <c r="H294" i="34"/>
  <c r="F294" i="34"/>
  <c r="A294" i="34"/>
  <c r="H293" i="34"/>
  <c r="F293" i="34"/>
  <c r="A293" i="34"/>
  <c r="H292" i="34"/>
  <c r="F292" i="34"/>
  <c r="H291" i="34"/>
  <c r="F291" i="34"/>
  <c r="H290" i="34"/>
  <c r="F290" i="34"/>
  <c r="A290" i="34"/>
  <c r="H289" i="34"/>
  <c r="F289" i="34"/>
  <c r="H288" i="34"/>
  <c r="F288" i="34"/>
  <c r="H287" i="34"/>
  <c r="F287" i="34"/>
  <c r="A287" i="34"/>
  <c r="H285" i="34"/>
  <c r="F285" i="34"/>
  <c r="A285" i="34"/>
  <c r="H284" i="34"/>
  <c r="F284" i="34"/>
  <c r="A284" i="34"/>
  <c r="H283" i="34"/>
  <c r="F283" i="34"/>
  <c r="A283" i="34"/>
  <c r="H281" i="34"/>
  <c r="F281" i="34"/>
  <c r="H280" i="34"/>
  <c r="F280" i="34"/>
  <c r="H279" i="34"/>
  <c r="A279" i="34"/>
  <c r="H278" i="34"/>
  <c r="F278" i="34"/>
  <c r="A278" i="34"/>
  <c r="H277" i="34"/>
  <c r="F277" i="34"/>
  <c r="A277" i="34"/>
  <c r="F276" i="34"/>
  <c r="A276" i="34"/>
  <c r="H275" i="34"/>
  <c r="F275" i="34"/>
  <c r="A275" i="34"/>
  <c r="H274" i="34"/>
  <c r="F274" i="34"/>
  <c r="A274" i="34"/>
  <c r="H273" i="34"/>
  <c r="F273" i="34"/>
  <c r="A273" i="34"/>
  <c r="H272" i="34"/>
  <c r="F272" i="34"/>
  <c r="A272" i="34"/>
  <c r="H271" i="34"/>
  <c r="F271" i="34"/>
  <c r="A271" i="34"/>
  <c r="H270" i="34"/>
  <c r="F270" i="34"/>
  <c r="A270" i="34"/>
  <c r="H269" i="34"/>
  <c r="F269" i="34"/>
  <c r="H268" i="34"/>
  <c r="F268" i="34"/>
  <c r="H267" i="34"/>
  <c r="F267" i="34"/>
  <c r="A267" i="34"/>
  <c r="H266" i="34"/>
  <c r="F266" i="34"/>
  <c r="H265" i="34"/>
  <c r="F265" i="34"/>
  <c r="H264" i="34"/>
  <c r="F264" i="34"/>
  <c r="A264" i="34"/>
  <c r="G285" i="34"/>
  <c r="G311" i="34"/>
  <c r="G301" i="34"/>
  <c r="G271" i="34"/>
  <c r="G340" i="34"/>
  <c r="G352" i="34"/>
  <c r="G315" i="34"/>
  <c r="G306" i="34"/>
  <c r="G353" i="34"/>
  <c r="G337" i="34"/>
  <c r="G326" i="34"/>
  <c r="G270" i="34"/>
  <c r="G50" i="34"/>
  <c r="G278" i="34"/>
  <c r="G338" i="34"/>
  <c r="G289" i="34"/>
  <c r="G327" i="34"/>
  <c r="G335" i="34"/>
  <c r="G49" i="34"/>
  <c r="G331" i="34"/>
  <c r="G303" i="34"/>
  <c r="G330" i="34"/>
  <c r="G304" i="34"/>
  <c r="G265" i="34"/>
  <c r="G291" i="34"/>
  <c r="G307" i="34"/>
  <c r="G277" i="34"/>
  <c r="G346" i="34"/>
  <c r="G334" i="34"/>
  <c r="G314" i="34"/>
  <c r="G284" i="34"/>
  <c r="G268" i="34"/>
  <c r="G294" i="34"/>
  <c r="G339" i="34"/>
  <c r="G347" i="34"/>
  <c r="G323" i="34"/>
  <c r="G281" i="34"/>
  <c r="G349" i="34"/>
  <c r="G266" i="34"/>
  <c r="G269" i="34"/>
  <c r="G350" i="34"/>
  <c r="G308" i="34"/>
  <c r="G312" i="34"/>
  <c r="G324" i="34"/>
  <c r="G292" i="34"/>
  <c r="G283" i="34"/>
  <c r="G288" i="34"/>
  <c r="G280" i="34"/>
  <c r="G300" i="34"/>
  <c r="G293" i="34"/>
  <c r="G317" i="34"/>
  <c r="G354" i="34"/>
  <c r="G329" i="34"/>
  <c r="G316" i="34"/>
  <c r="I50" i="34" l="1"/>
  <c r="I49" i="34"/>
  <c r="I275" i="34"/>
  <c r="I103" i="34"/>
  <c r="I106" i="34"/>
  <c r="I118" i="34"/>
  <c r="I276" i="34"/>
  <c r="I322" i="34"/>
  <c r="I343" i="34"/>
  <c r="I273" i="34"/>
  <c r="I299" i="34"/>
  <c r="I274" i="34"/>
  <c r="I319" i="34"/>
  <c r="I344" i="34"/>
  <c r="I295" i="34"/>
  <c r="I272" i="34"/>
  <c r="I321" i="34"/>
  <c r="I318" i="34"/>
  <c r="I320" i="34"/>
  <c r="I342" i="34"/>
  <c r="I298" i="34"/>
  <c r="I341" i="34"/>
  <c r="I296" i="34"/>
  <c r="I297" i="34"/>
  <c r="I345" i="34"/>
  <c r="I338" i="34"/>
  <c r="I349" i="34"/>
  <c r="I335" i="34"/>
  <c r="I346" i="34"/>
  <c r="I354" i="34"/>
  <c r="I337" i="34"/>
  <c r="I340" i="34"/>
  <c r="I350" i="34"/>
  <c r="I353" i="34"/>
  <c r="I334" i="34"/>
  <c r="I339" i="34"/>
  <c r="I347" i="34"/>
  <c r="I352" i="34"/>
  <c r="I283" i="34"/>
  <c r="I292" i="34"/>
  <c r="I303" i="34"/>
  <c r="I278" i="34"/>
  <c r="I289" i="34"/>
  <c r="I300" i="34"/>
  <c r="I324" i="34"/>
  <c r="I291" i="34"/>
  <c r="I304" i="34"/>
  <c r="I307" i="34"/>
  <c r="I316" i="34"/>
  <c r="I331" i="34"/>
  <c r="I270" i="34"/>
  <c r="I285" i="34"/>
  <c r="I294" i="34"/>
  <c r="I288" i="34"/>
  <c r="I268" i="34"/>
  <c r="I269" i="34"/>
  <c r="I293" i="34"/>
  <c r="I306" i="34"/>
  <c r="I317" i="34"/>
  <c r="I330" i="34"/>
  <c r="I266" i="34"/>
  <c r="I277" i="34"/>
  <c r="I280" i="34"/>
  <c r="I271" i="34"/>
  <c r="I284" i="34"/>
  <c r="I308" i="34"/>
  <c r="I311" i="34"/>
  <c r="I312" i="34"/>
  <c r="I314" i="34"/>
  <c r="I315" i="34"/>
  <c r="I323" i="34"/>
  <c r="I326" i="34"/>
  <c r="I327" i="34"/>
  <c r="I265" i="34"/>
  <c r="I281" i="34"/>
  <c r="I301" i="34"/>
  <c r="I329" i="34"/>
  <c r="I48" i="34" l="1"/>
  <c r="I336" i="34"/>
  <c r="I290" i="34"/>
  <c r="I287" i="34"/>
  <c r="I333" i="34"/>
  <c r="I348" i="34"/>
  <c r="I325" i="34"/>
  <c r="I279" i="34"/>
  <c r="I267" i="34"/>
  <c r="I264" i="34"/>
  <c r="I310" i="34"/>
  <c r="I302" i="34"/>
  <c r="I313" i="34"/>
  <c r="H262" i="34"/>
  <c r="F262" i="34"/>
  <c r="A262" i="34"/>
  <c r="H261" i="34"/>
  <c r="F261" i="34"/>
  <c r="A261" i="34"/>
  <c r="H260" i="34"/>
  <c r="F260" i="34"/>
  <c r="A260" i="34"/>
  <c r="H258" i="34"/>
  <c r="F258" i="34"/>
  <c r="H257" i="34"/>
  <c r="F257" i="34"/>
  <c r="H256" i="34"/>
  <c r="A256" i="34"/>
  <c r="H255" i="34"/>
  <c r="F255" i="34"/>
  <c r="A255" i="34"/>
  <c r="H254" i="34"/>
  <c r="F254" i="34"/>
  <c r="A254" i="34"/>
  <c r="F253" i="34"/>
  <c r="A253" i="34"/>
  <c r="H252" i="34"/>
  <c r="F252" i="34"/>
  <c r="A252" i="34"/>
  <c r="H251" i="34"/>
  <c r="F251" i="34"/>
  <c r="A251" i="34"/>
  <c r="H250" i="34"/>
  <c r="F250" i="34"/>
  <c r="A250" i="34"/>
  <c r="H249" i="34"/>
  <c r="F249" i="34"/>
  <c r="A249" i="34"/>
  <c r="H248" i="34"/>
  <c r="F248" i="34"/>
  <c r="A248" i="34"/>
  <c r="H247" i="34"/>
  <c r="F247" i="34"/>
  <c r="A247" i="34"/>
  <c r="H246" i="34"/>
  <c r="F246" i="34"/>
  <c r="H245" i="34"/>
  <c r="F245" i="34"/>
  <c r="H244" i="34"/>
  <c r="F244" i="34"/>
  <c r="A244" i="34"/>
  <c r="H243" i="34"/>
  <c r="F243" i="34"/>
  <c r="H242" i="34"/>
  <c r="F242" i="34"/>
  <c r="H241" i="34"/>
  <c r="F241" i="34"/>
  <c r="A241" i="34"/>
  <c r="H239" i="34"/>
  <c r="F239" i="34"/>
  <c r="A239" i="34"/>
  <c r="H238" i="34"/>
  <c r="F238" i="34"/>
  <c r="A238" i="34"/>
  <c r="H237" i="34"/>
  <c r="F237" i="34"/>
  <c r="A237" i="34"/>
  <c r="H235" i="34"/>
  <c r="F235" i="34"/>
  <c r="H234" i="34"/>
  <c r="F234" i="34"/>
  <c r="H233" i="34"/>
  <c r="A233" i="34"/>
  <c r="H232" i="34"/>
  <c r="F232" i="34"/>
  <c r="A232" i="34"/>
  <c r="H231" i="34"/>
  <c r="F231" i="34"/>
  <c r="A231" i="34"/>
  <c r="F230" i="34"/>
  <c r="A230" i="34"/>
  <c r="H229" i="34"/>
  <c r="F229" i="34"/>
  <c r="A229" i="34"/>
  <c r="H228" i="34"/>
  <c r="F228" i="34"/>
  <c r="A228" i="34"/>
  <c r="H227" i="34"/>
  <c r="F227" i="34"/>
  <c r="A227" i="34"/>
  <c r="H226" i="34"/>
  <c r="F226" i="34"/>
  <c r="A226" i="34"/>
  <c r="H225" i="34"/>
  <c r="F225" i="34"/>
  <c r="A225" i="34"/>
  <c r="H224" i="34"/>
  <c r="F224" i="34"/>
  <c r="A224" i="34"/>
  <c r="H223" i="34"/>
  <c r="F223" i="34"/>
  <c r="H222" i="34"/>
  <c r="F222" i="34"/>
  <c r="H221" i="34"/>
  <c r="F221" i="34"/>
  <c r="A221" i="34"/>
  <c r="H220" i="34"/>
  <c r="F220" i="34"/>
  <c r="H219" i="34"/>
  <c r="F219" i="34"/>
  <c r="H218" i="34"/>
  <c r="F218" i="34"/>
  <c r="A218" i="34"/>
  <c r="H216" i="34"/>
  <c r="F216" i="34"/>
  <c r="A216" i="34"/>
  <c r="H215" i="34"/>
  <c r="F215" i="34"/>
  <c r="A215" i="34"/>
  <c r="F214" i="34"/>
  <c r="A214" i="34"/>
  <c r="H212" i="34"/>
  <c r="F212" i="34"/>
  <c r="H211" i="34"/>
  <c r="F211" i="34"/>
  <c r="H210" i="34"/>
  <c r="A210" i="34"/>
  <c r="H209" i="34"/>
  <c r="F209" i="34"/>
  <c r="A209" i="34"/>
  <c r="H208" i="34"/>
  <c r="F208" i="34"/>
  <c r="A208" i="34"/>
  <c r="F207" i="34"/>
  <c r="A207" i="34"/>
  <c r="H206" i="34"/>
  <c r="F206" i="34"/>
  <c r="A206" i="34"/>
  <c r="H205" i="34"/>
  <c r="F205" i="34"/>
  <c r="A205" i="34"/>
  <c r="H204" i="34"/>
  <c r="F204" i="34"/>
  <c r="A204" i="34"/>
  <c r="H203" i="34"/>
  <c r="F203" i="34"/>
  <c r="A203" i="34"/>
  <c r="F202" i="34"/>
  <c r="A202" i="34"/>
  <c r="H201" i="34"/>
  <c r="F201" i="34"/>
  <c r="A201" i="34"/>
  <c r="H200" i="34"/>
  <c r="F200" i="34"/>
  <c r="H199" i="34"/>
  <c r="F199" i="34"/>
  <c r="H198" i="34"/>
  <c r="F198" i="34"/>
  <c r="A198" i="34"/>
  <c r="H197" i="34"/>
  <c r="F197" i="34"/>
  <c r="H196" i="34"/>
  <c r="F196" i="34"/>
  <c r="H195" i="34"/>
  <c r="F195" i="34"/>
  <c r="A195" i="34"/>
  <c r="H193" i="34"/>
  <c r="F193" i="34"/>
  <c r="A193" i="34"/>
  <c r="H192" i="34"/>
  <c r="F192" i="34"/>
  <c r="A192" i="34"/>
  <c r="H191" i="34"/>
  <c r="F191" i="34"/>
  <c r="A191" i="34"/>
  <c r="H189" i="34"/>
  <c r="F189" i="34"/>
  <c r="H188" i="34"/>
  <c r="F188" i="34"/>
  <c r="H187" i="34"/>
  <c r="A187" i="34"/>
  <c r="H186" i="34"/>
  <c r="F186" i="34"/>
  <c r="A186" i="34"/>
  <c r="H185" i="34"/>
  <c r="F185" i="34"/>
  <c r="A185" i="34"/>
  <c r="F184" i="34"/>
  <c r="A184" i="34"/>
  <c r="H183" i="34"/>
  <c r="F183" i="34"/>
  <c r="A183" i="34"/>
  <c r="H182" i="34"/>
  <c r="F182" i="34"/>
  <c r="A182" i="34"/>
  <c r="H181" i="34"/>
  <c r="F181" i="34"/>
  <c r="A181" i="34"/>
  <c r="H180" i="34"/>
  <c r="F180" i="34"/>
  <c r="A180" i="34"/>
  <c r="H179" i="34"/>
  <c r="F179" i="34"/>
  <c r="A179" i="34"/>
  <c r="H178" i="34"/>
  <c r="F178" i="34"/>
  <c r="A178" i="34"/>
  <c r="H177" i="34"/>
  <c r="F177" i="34"/>
  <c r="H176" i="34"/>
  <c r="F176" i="34"/>
  <c r="H175" i="34"/>
  <c r="F175" i="34"/>
  <c r="A175" i="34"/>
  <c r="H174" i="34"/>
  <c r="F174" i="34"/>
  <c r="H173" i="34"/>
  <c r="F173" i="34"/>
  <c r="H172" i="34"/>
  <c r="F172" i="34"/>
  <c r="A172" i="34"/>
  <c r="H170" i="34"/>
  <c r="F170" i="34"/>
  <c r="A170" i="34"/>
  <c r="H169" i="34"/>
  <c r="F169" i="34"/>
  <c r="A169" i="34"/>
  <c r="H168" i="34"/>
  <c r="F168" i="34"/>
  <c r="A168" i="34"/>
  <c r="H166" i="34"/>
  <c r="F166" i="34"/>
  <c r="H165" i="34"/>
  <c r="F165" i="34"/>
  <c r="H164" i="34"/>
  <c r="A164" i="34"/>
  <c r="H163" i="34"/>
  <c r="F163" i="34"/>
  <c r="A163" i="34"/>
  <c r="H162" i="34"/>
  <c r="F162" i="34"/>
  <c r="A162" i="34"/>
  <c r="F161" i="34"/>
  <c r="A161" i="34"/>
  <c r="H160" i="34"/>
  <c r="F160" i="34"/>
  <c r="A160" i="34"/>
  <c r="H159" i="34"/>
  <c r="F159" i="34"/>
  <c r="A159" i="34"/>
  <c r="H158" i="34"/>
  <c r="F158" i="34"/>
  <c r="A158" i="34"/>
  <c r="H157" i="34"/>
  <c r="F157" i="34"/>
  <c r="A157" i="34"/>
  <c r="H156" i="34"/>
  <c r="F156" i="34"/>
  <c r="A156" i="34"/>
  <c r="H155" i="34"/>
  <c r="F155" i="34"/>
  <c r="A155" i="34"/>
  <c r="H154" i="34"/>
  <c r="F154" i="34"/>
  <c r="H153" i="34"/>
  <c r="F153" i="34"/>
  <c r="H152" i="34"/>
  <c r="F152" i="34"/>
  <c r="A152" i="34"/>
  <c r="H151" i="34"/>
  <c r="F151" i="34"/>
  <c r="H150" i="34"/>
  <c r="F150" i="34"/>
  <c r="H149" i="34"/>
  <c r="F149" i="34"/>
  <c r="A149" i="34"/>
  <c r="H147" i="34"/>
  <c r="F147" i="34"/>
  <c r="A147" i="34"/>
  <c r="H146" i="34"/>
  <c r="F146" i="34"/>
  <c r="A146" i="34"/>
  <c r="F145" i="34"/>
  <c r="A145" i="34"/>
  <c r="H143" i="34"/>
  <c r="F143" i="34"/>
  <c r="H142" i="34"/>
  <c r="F142" i="34"/>
  <c r="H141" i="34"/>
  <c r="A141" i="34"/>
  <c r="H140" i="34"/>
  <c r="F140" i="34"/>
  <c r="A140" i="34"/>
  <c r="H139" i="34"/>
  <c r="F139" i="34"/>
  <c r="A139" i="34"/>
  <c r="F138" i="34"/>
  <c r="A138" i="34"/>
  <c r="H137" i="34"/>
  <c r="F137" i="34"/>
  <c r="A137" i="34"/>
  <c r="H136" i="34"/>
  <c r="F136" i="34"/>
  <c r="A136" i="34"/>
  <c r="H135" i="34"/>
  <c r="F135" i="34"/>
  <c r="A135" i="34"/>
  <c r="H134" i="34"/>
  <c r="F134" i="34"/>
  <c r="A134" i="34"/>
  <c r="F133" i="34"/>
  <c r="A133" i="34"/>
  <c r="H132" i="34"/>
  <c r="F132" i="34"/>
  <c r="A132" i="34"/>
  <c r="H131" i="34"/>
  <c r="F131" i="34"/>
  <c r="H130" i="34"/>
  <c r="F130" i="34"/>
  <c r="H129" i="34"/>
  <c r="F129" i="34"/>
  <c r="A129" i="34"/>
  <c r="H128" i="34"/>
  <c r="F128" i="34"/>
  <c r="H127" i="34"/>
  <c r="F127" i="34"/>
  <c r="H126" i="34"/>
  <c r="F126" i="34"/>
  <c r="A126" i="34"/>
  <c r="H101" i="34"/>
  <c r="F101" i="34"/>
  <c r="A101" i="34"/>
  <c r="H100" i="34"/>
  <c r="F100" i="34"/>
  <c r="A100" i="34"/>
  <c r="H99" i="34"/>
  <c r="F99" i="34"/>
  <c r="A99" i="34"/>
  <c r="H97" i="34"/>
  <c r="F97" i="34"/>
  <c r="H96" i="34"/>
  <c r="F96" i="34"/>
  <c r="H95" i="34"/>
  <c r="A95" i="34"/>
  <c r="H94" i="34"/>
  <c r="F94" i="34"/>
  <c r="A94" i="34"/>
  <c r="H93" i="34"/>
  <c r="F93" i="34"/>
  <c r="A93" i="34"/>
  <c r="F92" i="34"/>
  <c r="A92" i="34"/>
  <c r="H91" i="34"/>
  <c r="F91" i="34"/>
  <c r="A91" i="34"/>
  <c r="H90" i="34"/>
  <c r="F90" i="34"/>
  <c r="A90" i="34"/>
  <c r="H89" i="34"/>
  <c r="F89" i="34"/>
  <c r="A89" i="34"/>
  <c r="H88" i="34"/>
  <c r="F88" i="34"/>
  <c r="A88" i="34"/>
  <c r="F87" i="34"/>
  <c r="A87" i="34"/>
  <c r="H86" i="34"/>
  <c r="F86" i="34"/>
  <c r="A86" i="34"/>
  <c r="H85" i="34"/>
  <c r="F85" i="34"/>
  <c r="H84" i="34"/>
  <c r="F84" i="34"/>
  <c r="H83" i="34"/>
  <c r="F83" i="34"/>
  <c r="A83" i="34"/>
  <c r="H82" i="34"/>
  <c r="F82" i="34"/>
  <c r="H81" i="34"/>
  <c r="F81" i="34"/>
  <c r="H80" i="34"/>
  <c r="F80" i="34"/>
  <c r="A80" i="34"/>
  <c r="H78" i="34"/>
  <c r="F78" i="34"/>
  <c r="A78" i="34"/>
  <c r="H77" i="34"/>
  <c r="F77" i="34"/>
  <c r="A77" i="34"/>
  <c r="H76" i="34"/>
  <c r="F76" i="34"/>
  <c r="A76" i="34"/>
  <c r="H74" i="34"/>
  <c r="F74" i="34"/>
  <c r="H73" i="34"/>
  <c r="F73" i="34"/>
  <c r="H72" i="34"/>
  <c r="A72" i="34"/>
  <c r="H71" i="34"/>
  <c r="F71" i="34"/>
  <c r="A71" i="34"/>
  <c r="H70" i="34"/>
  <c r="F70" i="34"/>
  <c r="A70" i="34"/>
  <c r="F69" i="34"/>
  <c r="A69" i="34"/>
  <c r="H68" i="34"/>
  <c r="I68" i="34" s="1"/>
  <c r="F68" i="34"/>
  <c r="A68" i="34"/>
  <c r="H67" i="34"/>
  <c r="I67" i="34" s="1"/>
  <c r="F67" i="34"/>
  <c r="A67" i="34"/>
  <c r="H66" i="34"/>
  <c r="I66" i="34" s="1"/>
  <c r="F66" i="34"/>
  <c r="A66" i="34"/>
  <c r="H65" i="34"/>
  <c r="I65" i="34" s="1"/>
  <c r="F65" i="34"/>
  <c r="A65" i="34"/>
  <c r="H64" i="34"/>
  <c r="F64" i="34"/>
  <c r="A64" i="34"/>
  <c r="H63" i="34"/>
  <c r="F63" i="34"/>
  <c r="A63" i="34"/>
  <c r="H62" i="34"/>
  <c r="F62" i="34"/>
  <c r="H61" i="34"/>
  <c r="F61" i="34"/>
  <c r="H60" i="34"/>
  <c r="F60" i="34"/>
  <c r="A60" i="34"/>
  <c r="H59" i="34"/>
  <c r="F59" i="34"/>
  <c r="H58" i="34"/>
  <c r="F58" i="34"/>
  <c r="H57" i="34"/>
  <c r="F57" i="34"/>
  <c r="A57" i="34"/>
  <c r="H55" i="34"/>
  <c r="F55" i="34"/>
  <c r="A55" i="34"/>
  <c r="H54" i="34"/>
  <c r="F54" i="34"/>
  <c r="A54" i="34"/>
  <c r="H53" i="34"/>
  <c r="F53" i="34"/>
  <c r="A53" i="34"/>
  <c r="A48" i="34"/>
  <c r="H47" i="34"/>
  <c r="F47" i="34"/>
  <c r="A47" i="34"/>
  <c r="H46" i="34"/>
  <c r="F46" i="34"/>
  <c r="A46" i="34"/>
  <c r="F45" i="34"/>
  <c r="G45" i="34" s="1"/>
  <c r="I45" i="34" s="1"/>
  <c r="A45" i="34"/>
  <c r="H44" i="34"/>
  <c r="F44" i="34"/>
  <c r="G44" i="34" s="1"/>
  <c r="A44" i="34"/>
  <c r="H43" i="34"/>
  <c r="F43" i="34"/>
  <c r="G43" i="34" s="1"/>
  <c r="A43" i="34"/>
  <c r="H42" i="34"/>
  <c r="F42" i="34"/>
  <c r="G42" i="34" s="1"/>
  <c r="A42" i="34"/>
  <c r="H41" i="34"/>
  <c r="F41" i="34"/>
  <c r="G41" i="34" s="1"/>
  <c r="A41" i="34"/>
  <c r="H40" i="34"/>
  <c r="F40" i="34"/>
  <c r="A40" i="34"/>
  <c r="H37" i="34"/>
  <c r="A37" i="34"/>
  <c r="H36" i="34"/>
  <c r="F36" i="34"/>
  <c r="H35" i="34"/>
  <c r="F35" i="34"/>
  <c r="F34" i="34"/>
  <c r="A34" i="34"/>
  <c r="F33" i="34"/>
  <c r="F32" i="34"/>
  <c r="F31" i="34"/>
  <c r="A31" i="34"/>
  <c r="G36" i="34"/>
  <c r="G220" i="34"/>
  <c r="G247" i="34"/>
  <c r="G62" i="34"/>
  <c r="G59" i="34"/>
  <c r="G155" i="34"/>
  <c r="G224" i="34"/>
  <c r="G186" i="34"/>
  <c r="G166" i="34"/>
  <c r="G216" i="34"/>
  <c r="G53" i="34"/>
  <c r="G245" i="34"/>
  <c r="G146" i="34"/>
  <c r="G215" i="34"/>
  <c r="G81" i="34"/>
  <c r="G258" i="34"/>
  <c r="G94" i="34"/>
  <c r="G255" i="34"/>
  <c r="G99" i="34"/>
  <c r="G201" i="34"/>
  <c r="G176" i="34"/>
  <c r="G74" i="34"/>
  <c r="G142" i="34"/>
  <c r="G231" i="34"/>
  <c r="G82" i="34"/>
  <c r="G188" i="34"/>
  <c r="G225" i="34"/>
  <c r="G257" i="34"/>
  <c r="G169" i="34"/>
  <c r="G58" i="34"/>
  <c r="G127" i="34"/>
  <c r="G262" i="34"/>
  <c r="G223" i="34"/>
  <c r="G33" i="34"/>
  <c r="G261" i="34"/>
  <c r="G208" i="34"/>
  <c r="G64" i="34"/>
  <c r="G165" i="34"/>
  <c r="G151" i="34"/>
  <c r="G209" i="34"/>
  <c r="G232" i="34"/>
  <c r="G192" i="34"/>
  <c r="G46" i="34"/>
  <c r="G73" i="34"/>
  <c r="G153" i="34"/>
  <c r="G132" i="34"/>
  <c r="G177" i="34"/>
  <c r="G191" i="34"/>
  <c r="G154" i="34"/>
  <c r="G202" i="34"/>
  <c r="G140" i="34"/>
  <c r="G78" i="34"/>
  <c r="G174" i="34"/>
  <c r="G238" i="34"/>
  <c r="G47" i="34"/>
  <c r="G54" i="34"/>
  <c r="G237" i="34"/>
  <c r="G168" i="34"/>
  <c r="G170" i="34"/>
  <c r="G248" i="34"/>
  <c r="G77" i="34"/>
  <c r="G196" i="34"/>
  <c r="G254" i="34"/>
  <c r="G130" i="34"/>
  <c r="G212" i="34"/>
  <c r="G246" i="34"/>
  <c r="G243" i="34"/>
  <c r="G40" i="34"/>
  <c r="G143" i="34"/>
  <c r="G185" i="34"/>
  <c r="G128" i="34"/>
  <c r="G133" i="34"/>
  <c r="G163" i="34"/>
  <c r="G162" i="34"/>
  <c r="G150" i="34"/>
  <c r="G173" i="34"/>
  <c r="G32" i="34"/>
  <c r="G214" i="34"/>
  <c r="G219" i="34"/>
  <c r="G35" i="34"/>
  <c r="G211" i="34"/>
  <c r="G131" i="34"/>
  <c r="G156" i="34"/>
  <c r="G179" i="34"/>
  <c r="G85" i="34"/>
  <c r="G87" i="34"/>
  <c r="G97" i="34"/>
  <c r="G222" i="34"/>
  <c r="G84" i="34"/>
  <c r="G147" i="34"/>
  <c r="G242" i="34"/>
  <c r="G178" i="34"/>
  <c r="G139" i="34"/>
  <c r="G86" i="34"/>
  <c r="G197" i="34"/>
  <c r="G193" i="34"/>
  <c r="G76" i="34"/>
  <c r="G101" i="34"/>
  <c r="G239" i="34"/>
  <c r="G200" i="34"/>
  <c r="G189" i="34"/>
  <c r="G235" i="34"/>
  <c r="G100" i="34"/>
  <c r="G199" i="34"/>
  <c r="G70" i="34"/>
  <c r="G96" i="34"/>
  <c r="G93" i="34"/>
  <c r="G61" i="34"/>
  <c r="G260" i="34"/>
  <c r="G234" i="34"/>
  <c r="G55" i="34"/>
  <c r="G63" i="34"/>
  <c r="G71" i="34"/>
  <c r="G145" i="34"/>
  <c r="I41" i="34" l="1"/>
  <c r="I44" i="34"/>
  <c r="I43" i="34"/>
  <c r="I42" i="34"/>
  <c r="D397" i="34"/>
  <c r="D398" i="34" s="1"/>
  <c r="I84" i="34"/>
  <c r="I85" i="34"/>
  <c r="I82" i="34"/>
  <c r="I81" i="34"/>
  <c r="I77" i="34"/>
  <c r="I78" i="34"/>
  <c r="I73" i="34"/>
  <c r="I74" i="34"/>
  <c r="I76" i="34"/>
  <c r="I63" i="34"/>
  <c r="I70" i="34"/>
  <c r="I64" i="34"/>
  <c r="I71" i="34"/>
  <c r="I62" i="34"/>
  <c r="I61" i="34"/>
  <c r="I58" i="34"/>
  <c r="I59" i="34"/>
  <c r="I54" i="34"/>
  <c r="I53" i="34"/>
  <c r="I55" i="34"/>
  <c r="I47" i="34"/>
  <c r="I46" i="34"/>
  <c r="I40" i="34"/>
  <c r="I35" i="34"/>
  <c r="I36" i="34"/>
  <c r="I33" i="34"/>
  <c r="I32" i="34"/>
  <c r="I249" i="34"/>
  <c r="I205" i="34"/>
  <c r="I250" i="34"/>
  <c r="I207" i="34"/>
  <c r="I228" i="34"/>
  <c r="I137" i="34"/>
  <c r="I181" i="34"/>
  <c r="I157" i="34"/>
  <c r="I161" i="34"/>
  <c r="I183" i="34"/>
  <c r="I229" i="34"/>
  <c r="I89" i="34"/>
  <c r="I92" i="34"/>
  <c r="I134" i="34"/>
  <c r="I180" i="34"/>
  <c r="I203" i="34"/>
  <c r="I251" i="34"/>
  <c r="I252" i="34"/>
  <c r="I90" i="34"/>
  <c r="I136" i="34"/>
  <c r="I159" i="34"/>
  <c r="I204" i="34"/>
  <c r="I226" i="34"/>
  <c r="I253" i="34"/>
  <c r="I260" i="34"/>
  <c r="I255" i="34"/>
  <c r="I247" i="34"/>
  <c r="I262" i="34"/>
  <c r="I248" i="34"/>
  <c r="I261" i="34"/>
  <c r="I242" i="34"/>
  <c r="I243" i="34"/>
  <c r="I245" i="34"/>
  <c r="I246" i="34"/>
  <c r="I254" i="34"/>
  <c r="I257" i="34"/>
  <c r="I258" i="34"/>
  <c r="I91" i="34"/>
  <c r="I135" i="34"/>
  <c r="I158" i="34"/>
  <c r="I182" i="34"/>
  <c r="I206" i="34"/>
  <c r="I227" i="34"/>
  <c r="I88" i="34"/>
  <c r="I138" i="34"/>
  <c r="I230" i="34"/>
  <c r="G60" i="34"/>
  <c r="G34" i="34"/>
  <c r="G31" i="34"/>
  <c r="I37" i="34"/>
  <c r="G57" i="34"/>
  <c r="G80" i="34"/>
  <c r="I93" i="34"/>
  <c r="I96" i="34"/>
  <c r="I100" i="34"/>
  <c r="I128" i="34"/>
  <c r="I147" i="34"/>
  <c r="I153" i="34"/>
  <c r="I166" i="34"/>
  <c r="I176" i="34"/>
  <c r="I191" i="34"/>
  <c r="I196" i="34"/>
  <c r="I202" i="34"/>
  <c r="I215" i="34"/>
  <c r="I222" i="34"/>
  <c r="I234" i="34"/>
  <c r="G83" i="34"/>
  <c r="I99" i="34"/>
  <c r="I127" i="34"/>
  <c r="I145" i="34"/>
  <c r="I146" i="34"/>
  <c r="I150" i="34"/>
  <c r="I155" i="34"/>
  <c r="I156" i="34"/>
  <c r="I163" i="34"/>
  <c r="I168" i="34"/>
  <c r="I169" i="34"/>
  <c r="I170" i="34"/>
  <c r="I179" i="34"/>
  <c r="I200" i="34"/>
  <c r="I201" i="34"/>
  <c r="I208" i="34"/>
  <c r="I209" i="34"/>
  <c r="I211" i="34"/>
  <c r="I214" i="34"/>
  <c r="I220" i="34"/>
  <c r="I239" i="34"/>
  <c r="I87" i="34"/>
  <c r="I131" i="34"/>
  <c r="I132" i="34"/>
  <c r="I133" i="34"/>
  <c r="I139" i="34"/>
  <c r="I140" i="34"/>
  <c r="I143" i="34"/>
  <c r="I154" i="34"/>
  <c r="I162" i="34"/>
  <c r="I165" i="34"/>
  <c r="I174" i="34"/>
  <c r="I178" i="34"/>
  <c r="I186" i="34"/>
  <c r="I189" i="34"/>
  <c r="I197" i="34"/>
  <c r="I219" i="34"/>
  <c r="I238" i="34"/>
  <c r="I86" i="34"/>
  <c r="I94" i="34"/>
  <c r="I97" i="34"/>
  <c r="I101" i="34"/>
  <c r="I130" i="34"/>
  <c r="I142" i="34"/>
  <c r="I151" i="34"/>
  <c r="I173" i="34"/>
  <c r="I177" i="34"/>
  <c r="I185" i="34"/>
  <c r="I188" i="34"/>
  <c r="I192" i="34"/>
  <c r="I193" i="34"/>
  <c r="I199" i="34"/>
  <c r="I212" i="34"/>
  <c r="I216" i="34"/>
  <c r="I223" i="34"/>
  <c r="I224" i="34"/>
  <c r="I225" i="34"/>
  <c r="I231" i="34"/>
  <c r="I232" i="34"/>
  <c r="I235" i="34"/>
  <c r="I237" i="34"/>
  <c r="I160" i="34"/>
  <c r="I184" i="34"/>
  <c r="D386" i="34" l="1"/>
  <c r="H76" i="28" s="1"/>
  <c r="I76" i="28" s="1"/>
  <c r="D69" i="38" s="1"/>
  <c r="D390" i="34"/>
  <c r="H80" i="28" s="1"/>
  <c r="I80" i="28" s="1"/>
  <c r="D73" i="38" s="1"/>
  <c r="D387" i="34"/>
  <c r="D388" i="34"/>
  <c r="H78" i="28" s="1"/>
  <c r="I78" i="28" s="1"/>
  <c r="D71" i="38" s="1"/>
  <c r="D389" i="34"/>
  <c r="H79" i="28" s="1"/>
  <c r="I79" i="28" s="1"/>
  <c r="D72" i="38" s="1"/>
  <c r="D396" i="34"/>
  <c r="H86" i="28" s="1"/>
  <c r="I86" i="28" s="1"/>
  <c r="D79" i="38" s="1"/>
  <c r="D395" i="34"/>
  <c r="H85" i="28" s="1"/>
  <c r="I85" i="28" s="1"/>
  <c r="D78" i="38" s="1"/>
  <c r="D394" i="34"/>
  <c r="H84" i="28" s="1"/>
  <c r="I84" i="28" s="1"/>
  <c r="D77" i="38" s="1"/>
  <c r="D392" i="34"/>
  <c r="H82" i="28" s="1"/>
  <c r="I82" i="28" s="1"/>
  <c r="D75" i="38" s="1"/>
  <c r="D391" i="34"/>
  <c r="H81" i="28" s="1"/>
  <c r="I81" i="28" s="1"/>
  <c r="D74" i="38" s="1"/>
  <c r="D385" i="34"/>
  <c r="H75" i="28" s="1"/>
  <c r="I75" i="28" s="1"/>
  <c r="D68" i="38" s="1"/>
  <c r="D384" i="34"/>
  <c r="H74" i="28" s="1"/>
  <c r="I74" i="28" s="1"/>
  <c r="D67" i="38" s="1"/>
  <c r="H87" i="28"/>
  <c r="I87" i="28" s="1"/>
  <c r="D80" i="38" s="1"/>
  <c r="I34" i="34"/>
  <c r="H77" i="28"/>
  <c r="I77" i="28" s="1"/>
  <c r="D70" i="38" s="1"/>
  <c r="H88" i="28"/>
  <c r="I88" i="28" s="1"/>
  <c r="I256" i="34"/>
  <c r="I198" i="34"/>
  <c r="I141" i="34"/>
  <c r="I244" i="34"/>
  <c r="I241" i="34"/>
  <c r="I187" i="34"/>
  <c r="I126" i="34"/>
  <c r="I164" i="34"/>
  <c r="I221" i="34"/>
  <c r="I31" i="34"/>
  <c r="I172" i="34"/>
  <c r="I175" i="34"/>
  <c r="I195" i="34"/>
  <c r="I152" i="34"/>
  <c r="I149" i="34"/>
  <c r="I218" i="34"/>
  <c r="I129" i="34"/>
  <c r="I95" i="34"/>
  <c r="I80" i="34"/>
  <c r="I57" i="34"/>
  <c r="I210" i="34"/>
  <c r="I83" i="34"/>
  <c r="I233" i="34"/>
  <c r="I72" i="34"/>
  <c r="I60" i="34"/>
  <c r="D393" i="34" l="1"/>
  <c r="H83" i="28" s="1"/>
  <c r="I83" i="28" s="1"/>
  <c r="D76" i="38" s="1"/>
  <c r="D383" i="34"/>
  <c r="H73" i="28" s="1"/>
  <c r="I73" i="28" s="1"/>
  <c r="D66" i="38" s="1"/>
  <c r="D382" i="34"/>
  <c r="H72" i="28" s="1"/>
  <c r="I72" i="28" s="1"/>
  <c r="D65" i="38" s="1"/>
  <c r="G42" i="27"/>
  <c r="G36" i="29"/>
  <c r="A81" i="28" l="1"/>
  <c r="A74" i="38" s="1"/>
  <c r="H196" i="28"/>
  <c r="A196" i="28"/>
  <c r="A157" i="38" s="1"/>
  <c r="A197" i="28"/>
  <c r="A158" i="38" s="1"/>
  <c r="I36" i="29"/>
  <c r="I196" i="28" s="1"/>
  <c r="D157" i="38" s="1"/>
  <c r="H150" i="28"/>
  <c r="A150" i="28"/>
  <c r="A129" i="38" s="1"/>
  <c r="I42" i="27"/>
  <c r="I150" i="28" s="1"/>
  <c r="D129" i="38" s="1"/>
  <c r="H183" i="28"/>
  <c r="G40" i="29"/>
  <c r="I40" i="29" l="1"/>
  <c r="A139" i="28" l="1"/>
  <c r="A140" i="28"/>
  <c r="A126" i="38" s="1"/>
  <c r="A170" i="28"/>
  <c r="A138" i="38" s="1"/>
  <c r="I184" i="28"/>
  <c r="D145" i="38" s="1"/>
  <c r="I185" i="28"/>
  <c r="D146" i="38" s="1"/>
  <c r="A74" i="27"/>
  <c r="F74" i="27"/>
  <c r="G74" i="27" s="1"/>
  <c r="A182" i="28"/>
  <c r="A143" i="38" s="1"/>
  <c r="A190" i="28"/>
  <c r="A152" i="38" s="1"/>
  <c r="I74" i="27" l="1"/>
  <c r="I182" i="28" s="1"/>
  <c r="D143" i="38" s="1"/>
  <c r="H182" i="28"/>
  <c r="F80" i="27" l="1"/>
  <c r="G80" i="27" s="1"/>
  <c r="A80" i="27"/>
  <c r="G79" i="27"/>
  <c r="A79" i="27"/>
  <c r="G78" i="27"/>
  <c r="A78" i="27"/>
  <c r="F77" i="27"/>
  <c r="G77" i="27" s="1"/>
  <c r="A77" i="27"/>
  <c r="A76" i="27"/>
  <c r="I75" i="27"/>
  <c r="I183" i="28" s="1"/>
  <c r="D144" i="38" s="1"/>
  <c r="F75" i="27"/>
  <c r="A75" i="27"/>
  <c r="F73" i="27"/>
  <c r="G73" i="27" s="1"/>
  <c r="H181" i="28" s="1"/>
  <c r="A73" i="27"/>
  <c r="F72" i="27"/>
  <c r="G72" i="27" s="1"/>
  <c r="H180" i="28" s="1"/>
  <c r="A72" i="27"/>
  <c r="F71" i="27"/>
  <c r="F70" i="27"/>
  <c r="F69" i="27"/>
  <c r="A68" i="27"/>
  <c r="F67" i="27"/>
  <c r="F66" i="27"/>
  <c r="F65" i="27"/>
  <c r="A64" i="27"/>
  <c r="A63" i="27"/>
  <c r="F62" i="27"/>
  <c r="F61" i="27"/>
  <c r="G61" i="27" s="1"/>
  <c r="F60" i="27"/>
  <c r="G60" i="27" s="1"/>
  <c r="F59" i="27"/>
  <c r="G59" i="27" s="1"/>
  <c r="F58" i="27"/>
  <c r="A57" i="27"/>
  <c r="F56" i="27"/>
  <c r="G56" i="27" s="1"/>
  <c r="F55" i="27"/>
  <c r="G55" i="27" s="1"/>
  <c r="A54" i="27"/>
  <c r="F53" i="27"/>
  <c r="F52" i="27"/>
  <c r="F51" i="27"/>
  <c r="F50" i="27"/>
  <c r="A49" i="27"/>
  <c r="F48" i="27"/>
  <c r="A48" i="27"/>
  <c r="F47" i="27"/>
  <c r="F46" i="27"/>
  <c r="A45" i="27"/>
  <c r="A41" i="27"/>
  <c r="F40" i="27"/>
  <c r="F39" i="27"/>
  <c r="F38" i="27"/>
  <c r="F37" i="27"/>
  <c r="F36" i="27"/>
  <c r="F35" i="27"/>
  <c r="F33" i="27"/>
  <c r="F32" i="27"/>
  <c r="A31" i="27"/>
  <c r="G37" i="27"/>
  <c r="G32" i="27"/>
  <c r="G39" i="27"/>
  <c r="G51" i="27"/>
  <c r="G48" i="27"/>
  <c r="G33" i="27"/>
  <c r="G36" i="27"/>
  <c r="G62" i="27"/>
  <c r="G35" i="27"/>
  <c r="G58" i="27"/>
  <c r="G50" i="27"/>
  <c r="G47" i="27"/>
  <c r="G43" i="27"/>
  <c r="G65" i="27"/>
  <c r="G53" i="27"/>
  <c r="G66" i="27"/>
  <c r="G71" i="27"/>
  <c r="G52" i="27"/>
  <c r="G69" i="27"/>
  <c r="G70" i="27"/>
  <c r="G38" i="27"/>
  <c r="G67" i="27"/>
  <c r="G46" i="27"/>
  <c r="G40" i="27"/>
  <c r="I56" i="27" l="1"/>
  <c r="I164" i="28" s="1"/>
  <c r="D133" i="38" s="1"/>
  <c r="H164" i="28"/>
  <c r="I60" i="27"/>
  <c r="I168" i="28" s="1"/>
  <c r="D136" i="38" s="1"/>
  <c r="H168" i="28"/>
  <c r="I61" i="27"/>
  <c r="I169" i="28" s="1"/>
  <c r="D137" i="38" s="1"/>
  <c r="H169" i="28"/>
  <c r="I77" i="27"/>
  <c r="I187" i="28" s="1"/>
  <c r="D149" i="38" s="1"/>
  <c r="H187" i="28"/>
  <c r="I79" i="27"/>
  <c r="I189" i="28" s="1"/>
  <c r="D151" i="38" s="1"/>
  <c r="H189" i="28"/>
  <c r="I55" i="27"/>
  <c r="I163" i="28" s="1"/>
  <c r="D132" i="38" s="1"/>
  <c r="H163" i="28"/>
  <c r="I59" i="27"/>
  <c r="I167" i="28" s="1"/>
  <c r="D135" i="38" s="1"/>
  <c r="H167" i="28"/>
  <c r="I78" i="27"/>
  <c r="I188" i="28" s="1"/>
  <c r="D150" i="38" s="1"/>
  <c r="H188" i="28"/>
  <c r="I80" i="27"/>
  <c r="I190" i="28" s="1"/>
  <c r="D152" i="38" s="1"/>
  <c r="H190" i="28"/>
  <c r="H151" i="28"/>
  <c r="H178" i="28"/>
  <c r="H179" i="28"/>
  <c r="H177" i="28"/>
  <c r="H175" i="28"/>
  <c r="H174" i="28"/>
  <c r="H173" i="28"/>
  <c r="H170" i="28"/>
  <c r="H166" i="28"/>
  <c r="H160" i="28"/>
  <c r="H159" i="28"/>
  <c r="H161" i="28"/>
  <c r="H158" i="28"/>
  <c r="H156" i="28"/>
  <c r="H155" i="28"/>
  <c r="H154" i="28"/>
  <c r="H147" i="28"/>
  <c r="H146" i="28"/>
  <c r="H148" i="28"/>
  <c r="H144" i="28"/>
  <c r="H145" i="28"/>
  <c r="H143" i="28"/>
  <c r="H141" i="28"/>
  <c r="H140" i="28"/>
  <c r="I53" i="27"/>
  <c r="I161" i="28" s="1"/>
  <c r="I36" i="27"/>
  <c r="I144" i="28" s="1"/>
  <c r="I47" i="27"/>
  <c r="I155" i="28" s="1"/>
  <c r="I37" i="27"/>
  <c r="I145" i="28" s="1"/>
  <c r="I62" i="27"/>
  <c r="I170" i="28" s="1"/>
  <c r="D138" i="38" s="1"/>
  <c r="I66" i="27"/>
  <c r="I174" i="28" s="1"/>
  <c r="I70" i="27"/>
  <c r="I178" i="28" s="1"/>
  <c r="I46" i="27"/>
  <c r="I154" i="28" s="1"/>
  <c r="I40" i="27"/>
  <c r="I148" i="28" s="1"/>
  <c r="I50" i="27"/>
  <c r="I158" i="28" s="1"/>
  <c r="I58" i="27"/>
  <c r="I166" i="28" s="1"/>
  <c r="D134" i="38" s="1"/>
  <c r="I69" i="27"/>
  <c r="I177" i="28" s="1"/>
  <c r="I32" i="27"/>
  <c r="I140" i="28" s="1"/>
  <c r="D126" i="38" s="1"/>
  <c r="I51" i="27"/>
  <c r="I159" i="28" s="1"/>
  <c r="I38" i="27"/>
  <c r="I146" i="28" s="1"/>
  <c r="I48" i="27"/>
  <c r="I156" i="28" s="1"/>
  <c r="I67" i="27"/>
  <c r="I175" i="28" s="1"/>
  <c r="I71" i="27"/>
  <c r="I179" i="28" s="1"/>
  <c r="I33" i="27"/>
  <c r="I141" i="28" s="1"/>
  <c r="D127" i="38" s="1"/>
  <c r="I43" i="27"/>
  <c r="I151" i="28" s="1"/>
  <c r="D130" i="38" s="1"/>
  <c r="I65" i="27"/>
  <c r="I173" i="28" s="1"/>
  <c r="I35" i="27"/>
  <c r="I143" i="28" s="1"/>
  <c r="I39" i="27"/>
  <c r="I147" i="28" s="1"/>
  <c r="I52" i="27"/>
  <c r="I160" i="28" s="1"/>
  <c r="I68" i="27" l="1"/>
  <c r="I176" i="28" s="1"/>
  <c r="D140" i="38" s="1"/>
  <c r="I64" i="27"/>
  <c r="I172" i="28" s="1"/>
  <c r="D139" i="38" s="1"/>
  <c r="I34" i="27"/>
  <c r="I142" i="28" s="1"/>
  <c r="D128" i="38" s="1"/>
  <c r="I49" i="27"/>
  <c r="I157" i="28" s="1"/>
  <c r="I45" i="27"/>
  <c r="I153" i="28" s="1"/>
  <c r="I73" i="27"/>
  <c r="I181" i="28" s="1"/>
  <c r="D142" i="38" s="1"/>
  <c r="I72" i="27"/>
  <c r="I180" i="28" s="1"/>
  <c r="D141" i="38" s="1"/>
  <c r="I31" i="27" l="1"/>
  <c r="I44" i="27"/>
  <c r="I152" i="28" s="1"/>
  <c r="D131" i="38" s="1"/>
  <c r="H201" i="28" l="1"/>
  <c r="F54" i="28"/>
  <c r="F55" i="28" s="1"/>
  <c r="F56" i="28" s="1"/>
  <c r="F57" i="28" s="1"/>
  <c r="F58" i="28" s="1"/>
  <c r="F61" i="28" s="1"/>
  <c r="F63" i="28" s="1"/>
  <c r="F67" i="28" s="1"/>
  <c r="F59" i="28"/>
  <c r="F60" i="28" s="1"/>
  <c r="A13" i="28"/>
  <c r="A7" i="38" s="1"/>
  <c r="H30" i="28"/>
  <c r="H31" i="28"/>
  <c r="H26" i="28"/>
  <c r="H25" i="28"/>
  <c r="H11" i="28"/>
  <c r="H12" i="28"/>
  <c r="H13" i="28"/>
  <c r="I31" i="28" l="1"/>
  <c r="D21" i="38" s="1"/>
  <c r="I30" i="28"/>
  <c r="D20" i="38" s="1"/>
  <c r="I13" i="28"/>
  <c r="D7" i="38" s="1"/>
  <c r="I12" i="28"/>
  <c r="D6" i="38" s="1"/>
  <c r="I11" i="28"/>
  <c r="F69" i="28"/>
  <c r="I26" i="28"/>
  <c r="I25" i="28"/>
  <c r="D15" i="38" s="1"/>
  <c r="H8" i="28"/>
  <c r="I8" i="28" l="1"/>
  <c r="D3" i="38" s="1"/>
  <c r="A70" i="28" l="1"/>
  <c r="A62" i="38" s="1"/>
  <c r="A51" i="28"/>
  <c r="A42" i="38" s="1"/>
  <c r="E59" i="26" l="1"/>
  <c r="E58" i="26"/>
  <c r="A184" i="28" l="1"/>
  <c r="A145" i="38" s="1"/>
  <c r="A185" i="28"/>
  <c r="A146" i="38" s="1"/>
  <c r="A204" i="28"/>
  <c r="A163" i="38" s="1"/>
  <c r="A192" i="28"/>
  <c r="A193" i="28"/>
  <c r="A155" i="38" s="1"/>
  <c r="A194" i="28"/>
  <c r="A156" i="38" s="1"/>
  <c r="A195" i="28"/>
  <c r="A198" i="28"/>
  <c r="A199" i="28"/>
  <c r="A159" i="38" s="1"/>
  <c r="A200" i="28"/>
  <c r="A201" i="28"/>
  <c r="A160" i="38" s="1"/>
  <c r="A202" i="28"/>
  <c r="A161" i="38" s="1"/>
  <c r="A203" i="28"/>
  <c r="A162" i="38" s="1"/>
  <c r="A141" i="28"/>
  <c r="A127" i="38" s="1"/>
  <c r="A142" i="28"/>
  <c r="A128" i="38" s="1"/>
  <c r="A143" i="28"/>
  <c r="A144" i="28"/>
  <c r="A145" i="28"/>
  <c r="A146" i="28"/>
  <c r="A147" i="28"/>
  <c r="A148" i="28"/>
  <c r="A149" i="28"/>
  <c r="A151" i="28"/>
  <c r="A130" i="38" s="1"/>
  <c r="A152" i="28"/>
  <c r="A131" i="38" s="1"/>
  <c r="A153" i="28"/>
  <c r="A154" i="28"/>
  <c r="A155" i="28"/>
  <c r="A156" i="28"/>
  <c r="A157" i="28"/>
  <c r="A158" i="28"/>
  <c r="A159" i="28"/>
  <c r="A160" i="28"/>
  <c r="A161" i="28"/>
  <c r="A162" i="28"/>
  <c r="A163" i="28"/>
  <c r="A132" i="38" s="1"/>
  <c r="A164" i="28"/>
  <c r="A133" i="38" s="1"/>
  <c r="A165" i="28"/>
  <c r="A166" i="28"/>
  <c r="A134" i="38" s="1"/>
  <c r="A167" i="28"/>
  <c r="A135" i="38" s="1"/>
  <c r="A168" i="28"/>
  <c r="A136" i="38" s="1"/>
  <c r="A169" i="28"/>
  <c r="A137" i="38" s="1"/>
  <c r="A171" i="28"/>
  <c r="A172" i="28"/>
  <c r="A139" i="38" s="1"/>
  <c r="A173" i="28"/>
  <c r="A174" i="28"/>
  <c r="A175" i="28"/>
  <c r="A176" i="28"/>
  <c r="A140" i="38" s="1"/>
  <c r="A177" i="28"/>
  <c r="A178" i="28"/>
  <c r="A179" i="28"/>
  <c r="A180" i="28"/>
  <c r="A141" i="38" s="1"/>
  <c r="A181" i="28"/>
  <c r="A142" i="38" s="1"/>
  <c r="A183" i="28"/>
  <c r="A144" i="38" s="1"/>
  <c r="A187" i="28"/>
  <c r="A149" i="38" s="1"/>
  <c r="A188" i="28"/>
  <c r="A150" i="38" s="1"/>
  <c r="A189" i="28"/>
  <c r="A151" i="38" s="1"/>
  <c r="A25" i="28" l="1"/>
  <c r="A15" i="38" s="1"/>
  <c r="T33" i="30"/>
  <c r="AD33" i="30" s="1"/>
  <c r="S33" i="30"/>
  <c r="AB33" i="30" s="1"/>
  <c r="R33" i="30"/>
  <c r="Z33" i="30" s="1"/>
  <c r="Q33" i="30"/>
  <c r="Y33" i="30" s="1"/>
  <c r="P33" i="30"/>
  <c r="X33" i="30" s="1"/>
  <c r="O33" i="30"/>
  <c r="W33" i="30" s="1"/>
  <c r="M33" i="30"/>
  <c r="U33" i="30" s="1"/>
  <c r="T32" i="30"/>
  <c r="AC32" i="30" s="1"/>
  <c r="S32" i="30"/>
  <c r="AA32" i="30" s="1"/>
  <c r="R32" i="30"/>
  <c r="Z32" i="30" s="1"/>
  <c r="Q32" i="30"/>
  <c r="Y32" i="30" s="1"/>
  <c r="P32" i="30"/>
  <c r="X32" i="30" s="1"/>
  <c r="O32" i="30"/>
  <c r="W32" i="30" s="1"/>
  <c r="M32" i="30"/>
  <c r="U32" i="30" s="1"/>
  <c r="T31" i="30"/>
  <c r="AD31" i="30" s="1"/>
  <c r="S31" i="30"/>
  <c r="AB31" i="30" s="1"/>
  <c r="R31" i="30"/>
  <c r="Z31" i="30" s="1"/>
  <c r="Q31" i="30"/>
  <c r="Y31" i="30" s="1"/>
  <c r="P31" i="30"/>
  <c r="X31" i="30" s="1"/>
  <c r="O31" i="30"/>
  <c r="W31" i="30" s="1"/>
  <c r="M31" i="30"/>
  <c r="U31" i="30" s="1"/>
  <c r="T30" i="30"/>
  <c r="AC30" i="30" s="1"/>
  <c r="S30" i="30"/>
  <c r="AA30" i="30" s="1"/>
  <c r="R30" i="30"/>
  <c r="Z30" i="30" s="1"/>
  <c r="Q30" i="30"/>
  <c r="Y30" i="30" s="1"/>
  <c r="P30" i="30"/>
  <c r="X30" i="30" s="1"/>
  <c r="O30" i="30"/>
  <c r="W30" i="30" s="1"/>
  <c r="M30" i="30"/>
  <c r="U30" i="30" s="1"/>
  <c r="T29" i="30"/>
  <c r="AD29" i="30" s="1"/>
  <c r="S29" i="30"/>
  <c r="AB29" i="30" s="1"/>
  <c r="R29" i="30"/>
  <c r="Z29" i="30" s="1"/>
  <c r="Q29" i="30"/>
  <c r="Y29" i="30" s="1"/>
  <c r="P29" i="30"/>
  <c r="X29" i="30" s="1"/>
  <c r="O29" i="30"/>
  <c r="W29" i="30" s="1"/>
  <c r="M29" i="30"/>
  <c r="U29" i="30" s="1"/>
  <c r="T28" i="30"/>
  <c r="AC28" i="30" s="1"/>
  <c r="S28" i="30"/>
  <c r="AA28" i="30" s="1"/>
  <c r="R28" i="30"/>
  <c r="Z28" i="30" s="1"/>
  <c r="Q28" i="30"/>
  <c r="Y28" i="30" s="1"/>
  <c r="P28" i="30"/>
  <c r="X28" i="30" s="1"/>
  <c r="O28" i="30"/>
  <c r="W28" i="30" s="1"/>
  <c r="M28" i="30"/>
  <c r="U28" i="30" s="1"/>
  <c r="T27" i="30"/>
  <c r="AD27" i="30" s="1"/>
  <c r="S27" i="30"/>
  <c r="AB27" i="30" s="1"/>
  <c r="R27" i="30"/>
  <c r="Z27" i="30" s="1"/>
  <c r="Q27" i="30"/>
  <c r="Y27" i="30" s="1"/>
  <c r="P27" i="30"/>
  <c r="X27" i="30" s="1"/>
  <c r="O27" i="30"/>
  <c r="W27" i="30" s="1"/>
  <c r="M27" i="30"/>
  <c r="U27" i="30" s="1"/>
  <c r="T26" i="30"/>
  <c r="AC26" i="30" s="1"/>
  <c r="S26" i="30"/>
  <c r="AA26" i="30" s="1"/>
  <c r="R26" i="30"/>
  <c r="Z26" i="30" s="1"/>
  <c r="Q26" i="30"/>
  <c r="Y26" i="30" s="1"/>
  <c r="P26" i="30"/>
  <c r="X26" i="30" s="1"/>
  <c r="O26" i="30"/>
  <c r="W26" i="30" s="1"/>
  <c r="M26" i="30"/>
  <c r="U26" i="30" s="1"/>
  <c r="T25" i="30"/>
  <c r="AD25" i="30" s="1"/>
  <c r="S25" i="30"/>
  <c r="AB25" i="30" s="1"/>
  <c r="R25" i="30"/>
  <c r="Z25" i="30" s="1"/>
  <c r="Q25" i="30"/>
  <c r="Y25" i="30" s="1"/>
  <c r="P25" i="30"/>
  <c r="X25" i="30" s="1"/>
  <c r="O25" i="30"/>
  <c r="W25" i="30" s="1"/>
  <c r="M25" i="30"/>
  <c r="U25" i="30" s="1"/>
  <c r="T24" i="30"/>
  <c r="AC24" i="30" s="1"/>
  <c r="S24" i="30"/>
  <c r="AA24" i="30" s="1"/>
  <c r="R24" i="30"/>
  <c r="Z24" i="30" s="1"/>
  <c r="Q24" i="30"/>
  <c r="Y24" i="30" s="1"/>
  <c r="P24" i="30"/>
  <c r="X24" i="30" s="1"/>
  <c r="O24" i="30"/>
  <c r="W24" i="30" s="1"/>
  <c r="M24" i="30"/>
  <c r="U24" i="30" s="1"/>
  <c r="T23" i="30"/>
  <c r="AD23" i="30" s="1"/>
  <c r="S23" i="30"/>
  <c r="AB23" i="30" s="1"/>
  <c r="R23" i="30"/>
  <c r="Z23" i="30" s="1"/>
  <c r="Q23" i="30"/>
  <c r="Y23" i="30" s="1"/>
  <c r="P23" i="30"/>
  <c r="X23" i="30" s="1"/>
  <c r="O23" i="30"/>
  <c r="W23" i="30" s="1"/>
  <c r="M23" i="30"/>
  <c r="U23" i="30" s="1"/>
  <c r="T22" i="30"/>
  <c r="AC22" i="30" s="1"/>
  <c r="S22" i="30"/>
  <c r="AA22" i="30" s="1"/>
  <c r="R22" i="30"/>
  <c r="Z22" i="30" s="1"/>
  <c r="Q22" i="30"/>
  <c r="Y22" i="30" s="1"/>
  <c r="P22" i="30"/>
  <c r="X22" i="30" s="1"/>
  <c r="O22" i="30"/>
  <c r="W22" i="30" s="1"/>
  <c r="M22" i="30"/>
  <c r="U22" i="30" s="1"/>
  <c r="T21" i="30"/>
  <c r="AD21" i="30" s="1"/>
  <c r="S21" i="30"/>
  <c r="AB21" i="30" s="1"/>
  <c r="R21" i="30"/>
  <c r="Z21" i="30" s="1"/>
  <c r="Q21" i="30"/>
  <c r="Y21" i="30" s="1"/>
  <c r="P21" i="30"/>
  <c r="X21" i="30" s="1"/>
  <c r="O21" i="30"/>
  <c r="W21" i="30" s="1"/>
  <c r="M21" i="30"/>
  <c r="U21" i="30" s="1"/>
  <c r="T20" i="30"/>
  <c r="AD20" i="30" s="1"/>
  <c r="S20" i="30"/>
  <c r="AB20" i="30" s="1"/>
  <c r="R20" i="30"/>
  <c r="Z20" i="30" s="1"/>
  <c r="Q20" i="30"/>
  <c r="Y20" i="30" s="1"/>
  <c r="P20" i="30"/>
  <c r="X20" i="30" s="1"/>
  <c r="O20" i="30"/>
  <c r="W20" i="30" s="1"/>
  <c r="M20" i="30"/>
  <c r="U20" i="30" s="1"/>
  <c r="T19" i="30"/>
  <c r="AC19" i="30" s="1"/>
  <c r="S19" i="30"/>
  <c r="AA19" i="30" s="1"/>
  <c r="R19" i="30"/>
  <c r="Z19" i="30" s="1"/>
  <c r="Q19" i="30"/>
  <c r="Y19" i="30" s="1"/>
  <c r="P19" i="30"/>
  <c r="X19" i="30" s="1"/>
  <c r="O19" i="30"/>
  <c r="W19" i="30" s="1"/>
  <c r="M19" i="30"/>
  <c r="U19" i="30" s="1"/>
  <c r="T16" i="30"/>
  <c r="AC16" i="30" s="1"/>
  <c r="S16" i="30"/>
  <c r="AA16" i="30" s="1"/>
  <c r="R16" i="30"/>
  <c r="Z16" i="30" s="1"/>
  <c r="Q16" i="30"/>
  <c r="Y16" i="30" s="1"/>
  <c r="P16" i="30"/>
  <c r="X16" i="30" s="1"/>
  <c r="O16" i="30"/>
  <c r="W16" i="30" s="1"/>
  <c r="M16" i="30"/>
  <c r="U16" i="30" s="1"/>
  <c r="T15" i="30"/>
  <c r="AD15" i="30" s="1"/>
  <c r="S15" i="30"/>
  <c r="AB15" i="30" s="1"/>
  <c r="R15" i="30"/>
  <c r="Z15" i="30" s="1"/>
  <c r="Q15" i="30"/>
  <c r="Y15" i="30" s="1"/>
  <c r="P15" i="30"/>
  <c r="X15" i="30" s="1"/>
  <c r="O15" i="30"/>
  <c r="W15" i="30" s="1"/>
  <c r="M15" i="30"/>
  <c r="U15" i="30" s="1"/>
  <c r="T14" i="30"/>
  <c r="AC14" i="30" s="1"/>
  <c r="S14" i="30"/>
  <c r="AA14" i="30" s="1"/>
  <c r="R14" i="30"/>
  <c r="Z14" i="30" s="1"/>
  <c r="Q14" i="30"/>
  <c r="Y14" i="30" s="1"/>
  <c r="P14" i="30"/>
  <c r="X14" i="30" s="1"/>
  <c r="O14" i="30"/>
  <c r="W14" i="30" s="1"/>
  <c r="M14" i="30"/>
  <c r="U14" i="30" s="1"/>
  <c r="T13" i="30"/>
  <c r="AD13" i="30" s="1"/>
  <c r="S13" i="30"/>
  <c r="AB13" i="30" s="1"/>
  <c r="R13" i="30"/>
  <c r="Z13" i="30" s="1"/>
  <c r="Q13" i="30"/>
  <c r="Y13" i="30" s="1"/>
  <c r="P13" i="30"/>
  <c r="X13" i="30" s="1"/>
  <c r="O13" i="30"/>
  <c r="W13" i="30" s="1"/>
  <c r="M13" i="30"/>
  <c r="U13" i="30" s="1"/>
  <c r="T12" i="30"/>
  <c r="AC12" i="30" s="1"/>
  <c r="S12" i="30"/>
  <c r="AA12" i="30" s="1"/>
  <c r="R12" i="30"/>
  <c r="Z12" i="30" s="1"/>
  <c r="Q12" i="30"/>
  <c r="Y12" i="30" s="1"/>
  <c r="P12" i="30"/>
  <c r="X12" i="30" s="1"/>
  <c r="O12" i="30"/>
  <c r="W12" i="30" s="1"/>
  <c r="M12" i="30"/>
  <c r="U12" i="30" s="1"/>
  <c r="T11" i="30"/>
  <c r="AD11" i="30" s="1"/>
  <c r="S11" i="30"/>
  <c r="R11" i="30"/>
  <c r="Z11" i="30" s="1"/>
  <c r="Q11" i="30"/>
  <c r="Y11" i="30" s="1"/>
  <c r="P11" i="30"/>
  <c r="X11" i="30" s="1"/>
  <c r="O11" i="30"/>
  <c r="W11" i="30" s="1"/>
  <c r="M11" i="30"/>
  <c r="U11" i="30" s="1"/>
  <c r="T10" i="30"/>
  <c r="AC10" i="30" s="1"/>
  <c r="S10" i="30"/>
  <c r="AA10" i="30" s="1"/>
  <c r="R10" i="30"/>
  <c r="Z10" i="30" s="1"/>
  <c r="Q10" i="30"/>
  <c r="Y10" i="30" s="1"/>
  <c r="P10" i="30"/>
  <c r="X10" i="30" s="1"/>
  <c r="O10" i="30"/>
  <c r="W10" i="30" s="1"/>
  <c r="M10" i="30"/>
  <c r="U10" i="30" s="1"/>
  <c r="T9" i="30"/>
  <c r="AD9" i="30" s="1"/>
  <c r="S9" i="30"/>
  <c r="AB9" i="30" s="1"/>
  <c r="R9" i="30"/>
  <c r="Z9" i="30" s="1"/>
  <c r="Q9" i="30"/>
  <c r="Y9" i="30" s="1"/>
  <c r="P9" i="30"/>
  <c r="X9" i="30" s="1"/>
  <c r="O9" i="30"/>
  <c r="W9" i="30" s="1"/>
  <c r="M9" i="30"/>
  <c r="U9" i="30" s="1"/>
  <c r="T8" i="30"/>
  <c r="AC8" i="30" s="1"/>
  <c r="S8" i="30"/>
  <c r="AA8" i="30" s="1"/>
  <c r="R8" i="30"/>
  <c r="Z8" i="30" s="1"/>
  <c r="Q8" i="30"/>
  <c r="Y8" i="30" s="1"/>
  <c r="P8" i="30"/>
  <c r="X8" i="30" s="1"/>
  <c r="O8" i="30"/>
  <c r="W8" i="30" s="1"/>
  <c r="M8" i="30"/>
  <c r="U8" i="30" s="1"/>
  <c r="T7" i="30"/>
  <c r="AD7" i="30" s="1"/>
  <c r="S7" i="30"/>
  <c r="AB7" i="30" s="1"/>
  <c r="R7" i="30"/>
  <c r="Z7" i="30" s="1"/>
  <c r="Q7" i="30"/>
  <c r="Y7" i="30" s="1"/>
  <c r="P7" i="30"/>
  <c r="X7" i="30" s="1"/>
  <c r="O7" i="30"/>
  <c r="W7" i="30" s="1"/>
  <c r="M7" i="30"/>
  <c r="U7" i="30" s="1"/>
  <c r="T6" i="30"/>
  <c r="AC6" i="30" s="1"/>
  <c r="S6" i="30"/>
  <c r="AA6" i="30" s="1"/>
  <c r="R6" i="30"/>
  <c r="Z6" i="30" s="1"/>
  <c r="Q6" i="30"/>
  <c r="Y6" i="30" s="1"/>
  <c r="P6" i="30"/>
  <c r="X6" i="30" s="1"/>
  <c r="O6" i="30"/>
  <c r="W6" i="30" s="1"/>
  <c r="M6" i="30"/>
  <c r="U6" i="30" s="1"/>
  <c r="T5" i="30"/>
  <c r="AD5" i="30" s="1"/>
  <c r="S5" i="30"/>
  <c r="AB5" i="30" s="1"/>
  <c r="R5" i="30"/>
  <c r="Z5" i="30" s="1"/>
  <c r="Q5" i="30"/>
  <c r="Y5" i="30" s="1"/>
  <c r="P5" i="30"/>
  <c r="X5" i="30" s="1"/>
  <c r="O5" i="30"/>
  <c r="W5" i="30" s="1"/>
  <c r="M5" i="30"/>
  <c r="U5" i="30" s="1"/>
  <c r="X34" i="30" l="1"/>
  <c r="Y34" i="30"/>
  <c r="Z34" i="30"/>
  <c r="H24" i="28" s="1"/>
  <c r="I24" i="28" s="1"/>
  <c r="W34" i="30"/>
  <c r="H14" i="28" s="1"/>
  <c r="I14" i="28" s="1"/>
  <c r="D8" i="38" s="1"/>
  <c r="AB14" i="30"/>
  <c r="AC20" i="30"/>
  <c r="AC9" i="30"/>
  <c r="AA23" i="30"/>
  <c r="AA27" i="30"/>
  <c r="AB28" i="30"/>
  <c r="AC5" i="30"/>
  <c r="AB32" i="30"/>
  <c r="AA7" i="30"/>
  <c r="AC25" i="30"/>
  <c r="AC11" i="30"/>
  <c r="AC15" i="30"/>
  <c r="AC29" i="30"/>
  <c r="AD30" i="30"/>
  <c r="AB6" i="30"/>
  <c r="AC7" i="30"/>
  <c r="AB12" i="30"/>
  <c r="AB16" i="30"/>
  <c r="AB19" i="30"/>
  <c r="AB22" i="30"/>
  <c r="AC23" i="30"/>
  <c r="AC33" i="30"/>
  <c r="AD6" i="30"/>
  <c r="AB8" i="30"/>
  <c r="AB10" i="30"/>
  <c r="AC13" i="30"/>
  <c r="AD22" i="30"/>
  <c r="AB24" i="30"/>
  <c r="AB26" i="30"/>
  <c r="AC27" i="30"/>
  <c r="AA31" i="30"/>
  <c r="AD10" i="30"/>
  <c r="AD26" i="30"/>
  <c r="AB30" i="30"/>
  <c r="AC31" i="30"/>
  <c r="U34" i="30"/>
  <c r="H9" i="28" s="1"/>
  <c r="I9" i="28" s="1"/>
  <c r="D4" i="38" s="1"/>
  <c r="H16" i="28"/>
  <c r="I16" i="28" s="1"/>
  <c r="D10" i="38" s="1"/>
  <c r="H15" i="28"/>
  <c r="I15" i="28" s="1"/>
  <c r="D9" i="38" s="1"/>
  <c r="AA5" i="30"/>
  <c r="AD8" i="30"/>
  <c r="AA9" i="30"/>
  <c r="AB11" i="30"/>
  <c r="AA11" i="30"/>
  <c r="AD12" i="30"/>
  <c r="AA13" i="30"/>
  <c r="AD14" i="30"/>
  <c r="AA15" i="30"/>
  <c r="AD16" i="30"/>
  <c r="AD19" i="30"/>
  <c r="AA20" i="30"/>
  <c r="AC21" i="30"/>
  <c r="AA21" i="30"/>
  <c r="AD24" i="30"/>
  <c r="AA25" i="30"/>
  <c r="AD28" i="30"/>
  <c r="AA29" i="30"/>
  <c r="AD32" i="30"/>
  <c r="AA33" i="30"/>
  <c r="A62" i="28"/>
  <c r="A54" i="38" s="1"/>
  <c r="A43" i="28"/>
  <c r="A34" i="38" s="1"/>
  <c r="A11" i="28"/>
  <c r="A12" i="28"/>
  <c r="A6" i="38" s="1"/>
  <c r="AD34" i="30" l="1"/>
  <c r="H22" i="28" s="1"/>
  <c r="AB34" i="30"/>
  <c r="H18" i="28" s="1"/>
  <c r="AC34" i="30"/>
  <c r="H23" i="28" s="1"/>
  <c r="AA34" i="30"/>
  <c r="H19" i="28" s="1"/>
  <c r="H17" i="28" l="1"/>
  <c r="I17" i="28" s="1"/>
  <c r="D11" i="38" s="1"/>
  <c r="H21" i="28"/>
  <c r="I21" i="28" s="1"/>
  <c r="D14" i="38" s="1"/>
  <c r="A97" i="28"/>
  <c r="A98" i="28"/>
  <c r="A91" i="28" l="1"/>
  <c r="A84" i="38" s="1"/>
  <c r="H50" i="26" l="1"/>
  <c r="H48" i="26"/>
  <c r="A40" i="28" l="1"/>
  <c r="A31" i="38" s="1"/>
  <c r="A60" i="28"/>
  <c r="A52" i="38" s="1"/>
  <c r="H52" i="26"/>
  <c r="F52" i="26"/>
  <c r="A52" i="26"/>
  <c r="F38" i="26"/>
  <c r="A38" i="26"/>
  <c r="G38" i="26" l="1"/>
  <c r="G52" i="26"/>
  <c r="I52" i="26" l="1"/>
  <c r="I60" i="28" s="1"/>
  <c r="D52" i="38" s="1"/>
  <c r="H40" i="28"/>
  <c r="I38" i="26"/>
  <c r="I40" i="28" s="1"/>
  <c r="D31" i="38" s="1"/>
  <c r="H60" i="28"/>
  <c r="F32" i="26"/>
  <c r="F33" i="26"/>
  <c r="F34" i="26"/>
  <c r="F35" i="26"/>
  <c r="F36" i="26"/>
  <c r="F37" i="26"/>
  <c r="F39" i="26"/>
  <c r="G39" i="26" s="1"/>
  <c r="F40" i="26"/>
  <c r="G40" i="26" s="1"/>
  <c r="F41" i="26"/>
  <c r="F42" i="26"/>
  <c r="F43" i="26"/>
  <c r="F45" i="26"/>
  <c r="F46" i="26"/>
  <c r="F47" i="26"/>
  <c r="F48" i="26"/>
  <c r="F49" i="26"/>
  <c r="F53" i="26"/>
  <c r="G53" i="26" s="1"/>
  <c r="F54" i="26"/>
  <c r="F55" i="26"/>
  <c r="F56" i="26"/>
  <c r="F58" i="26"/>
  <c r="G58" i="26" s="1"/>
  <c r="F59" i="26"/>
  <c r="G59" i="26" s="1"/>
  <c r="A58" i="26"/>
  <c r="A59" i="26"/>
  <c r="H41" i="28" l="1"/>
  <c r="I39" i="26"/>
  <c r="I59" i="26"/>
  <c r="I98" i="28" s="1"/>
  <c r="H61" i="28"/>
  <c r="I58" i="26"/>
  <c r="I97" i="28" s="1"/>
  <c r="H42" i="28"/>
  <c r="I40" i="26"/>
  <c r="G48" i="26"/>
  <c r="G34" i="26"/>
  <c r="G47" i="26"/>
  <c r="G37" i="26"/>
  <c r="G33" i="26"/>
  <c r="G36" i="26"/>
  <c r="G49" i="26"/>
  <c r="G35" i="26"/>
  <c r="A16" i="28"/>
  <c r="A10" i="38" s="1"/>
  <c r="H38" i="28" l="1"/>
  <c r="I36" i="26"/>
  <c r="H35" i="28"/>
  <c r="I33" i="26"/>
  <c r="I35" i="28" s="1"/>
  <c r="D26" i="38" s="1"/>
  <c r="H36" i="28"/>
  <c r="I34" i="26"/>
  <c r="H37" i="28"/>
  <c r="I35" i="26"/>
  <c r="H56" i="28"/>
  <c r="I48" i="26"/>
  <c r="H39" i="28"/>
  <c r="I37" i="26"/>
  <c r="H57" i="28"/>
  <c r="H55" i="28"/>
  <c r="A14" i="28"/>
  <c r="A8" i="38" s="1"/>
  <c r="A92" i="28" l="1"/>
  <c r="A85" i="38" s="1"/>
  <c r="A93" i="28"/>
  <c r="A86" i="38" s="1"/>
  <c r="A94" i="28"/>
  <c r="A87" i="38" s="1"/>
  <c r="A95" i="28"/>
  <c r="A88" i="38" s="1"/>
  <c r="A90" i="28"/>
  <c r="A83" i="38" s="1"/>
  <c r="A73" i="28"/>
  <c r="A66" i="38" s="1"/>
  <c r="A74" i="28"/>
  <c r="A67" i="38" s="1"/>
  <c r="A75" i="28"/>
  <c r="A68" i="38" s="1"/>
  <c r="A76" i="28"/>
  <c r="A69" i="38" s="1"/>
  <c r="A77" i="28"/>
  <c r="A70" i="38" s="1"/>
  <c r="A78" i="28"/>
  <c r="A71" i="38" s="1"/>
  <c r="A79" i="28"/>
  <c r="A72" i="38" s="1"/>
  <c r="A80" i="28"/>
  <c r="A73" i="38" s="1"/>
  <c r="A82" i="28"/>
  <c r="A75" i="38" s="1"/>
  <c r="A83" i="28"/>
  <c r="A76" i="38" s="1"/>
  <c r="A84" i="28"/>
  <c r="A77" i="38" s="1"/>
  <c r="A85" i="28"/>
  <c r="A78" i="38" s="1"/>
  <c r="A86" i="28"/>
  <c r="A79" i="38" s="1"/>
  <c r="A72" i="28"/>
  <c r="A65" i="38" s="1"/>
  <c r="A113" i="28"/>
  <c r="A102" i="38" s="1"/>
  <c r="A116" i="28"/>
  <c r="A103" i="38" s="1"/>
  <c r="A117" i="28"/>
  <c r="A104" i="38" s="1"/>
  <c r="A118" i="28"/>
  <c r="A105" i="38" s="1"/>
  <c r="A119" i="28"/>
  <c r="A106" i="38" s="1"/>
  <c r="A120" i="28"/>
  <c r="A107" i="38" s="1"/>
  <c r="A121" i="28"/>
  <c r="A108" i="38" s="1"/>
  <c r="A30" i="28"/>
  <c r="A20" i="38" s="1"/>
  <c r="A31" i="28"/>
  <c r="A21" i="38" s="1"/>
  <c r="A53" i="28"/>
  <c r="A45" i="38" s="1"/>
  <c r="A15" i="28"/>
  <c r="A9" i="38" s="1"/>
  <c r="A17" i="28"/>
  <c r="A11" i="38" s="1"/>
  <c r="A21" i="28"/>
  <c r="A14" i="38" s="1"/>
  <c r="A24" i="28"/>
  <c r="A9" i="28"/>
  <c r="A4" i="38" s="1"/>
  <c r="H144" i="22" l="1"/>
  <c r="F144" i="22"/>
  <c r="H143" i="22"/>
  <c r="F143" i="22"/>
  <c r="H142" i="22"/>
  <c r="F142" i="22"/>
  <c r="H141" i="22"/>
  <c r="F141" i="22"/>
  <c r="H140" i="22"/>
  <c r="F140" i="22"/>
  <c r="H139" i="22"/>
  <c r="F139" i="22"/>
  <c r="H138" i="22"/>
  <c r="H137" i="22"/>
  <c r="F137" i="22"/>
  <c r="H136" i="22"/>
  <c r="F136" i="22"/>
  <c r="H135" i="22"/>
  <c r="F135" i="22"/>
  <c r="G135" i="22" s="1"/>
  <c r="H134" i="22"/>
  <c r="F134" i="22"/>
  <c r="G134" i="22" s="1"/>
  <c r="H133" i="22"/>
  <c r="F133" i="22"/>
  <c r="G133" i="22" s="1"/>
  <c r="H132" i="22"/>
  <c r="F132" i="22"/>
  <c r="G132" i="22" s="1"/>
  <c r="H131" i="22"/>
  <c r="F131" i="22"/>
  <c r="G131" i="22" s="1"/>
  <c r="H130" i="22"/>
  <c r="F130" i="22"/>
  <c r="H129" i="22"/>
  <c r="F129" i="22"/>
  <c r="H128" i="22"/>
  <c r="F128" i="22"/>
  <c r="H127" i="22"/>
  <c r="F127" i="22"/>
  <c r="H126" i="22"/>
  <c r="F126" i="22"/>
  <c r="H125" i="22"/>
  <c r="F125" i="22"/>
  <c r="H124" i="22"/>
  <c r="F124" i="22"/>
  <c r="H123" i="22"/>
  <c r="F123" i="22"/>
  <c r="H121" i="22"/>
  <c r="F121" i="22"/>
  <c r="H120" i="22"/>
  <c r="F120" i="22"/>
  <c r="H119" i="22"/>
  <c r="F119" i="22"/>
  <c r="H118" i="22"/>
  <c r="F118" i="22"/>
  <c r="H117" i="22"/>
  <c r="F117" i="22"/>
  <c r="H116" i="22"/>
  <c r="F116" i="22"/>
  <c r="H115" i="22"/>
  <c r="H114" i="22"/>
  <c r="F114" i="22"/>
  <c r="H113" i="22"/>
  <c r="F113" i="22"/>
  <c r="H112" i="22"/>
  <c r="F112" i="22"/>
  <c r="G112" i="22" s="1"/>
  <c r="H111" i="22"/>
  <c r="F111" i="22"/>
  <c r="G111" i="22" s="1"/>
  <c r="H110" i="22"/>
  <c r="F110" i="22"/>
  <c r="G110" i="22" s="1"/>
  <c r="H109" i="22"/>
  <c r="F109" i="22"/>
  <c r="G109" i="22" s="1"/>
  <c r="H108" i="22"/>
  <c r="F108" i="22"/>
  <c r="G108" i="22" s="1"/>
  <c r="H107" i="22"/>
  <c r="F107" i="22"/>
  <c r="H106" i="22"/>
  <c r="F106" i="22"/>
  <c r="H105" i="22"/>
  <c r="F105" i="22"/>
  <c r="H104" i="22"/>
  <c r="F104" i="22"/>
  <c r="H103" i="22"/>
  <c r="F103" i="22"/>
  <c r="H102" i="22"/>
  <c r="F102" i="22"/>
  <c r="H101" i="22"/>
  <c r="F101" i="22"/>
  <c r="H100" i="22"/>
  <c r="F100" i="22"/>
  <c r="H98" i="22"/>
  <c r="F98" i="22"/>
  <c r="H97" i="22"/>
  <c r="F97" i="22"/>
  <c r="H96" i="22"/>
  <c r="F96" i="22"/>
  <c r="H95" i="22"/>
  <c r="F95" i="22"/>
  <c r="H94" i="22"/>
  <c r="F94" i="22"/>
  <c r="H93" i="22"/>
  <c r="F93" i="22"/>
  <c r="H92" i="22"/>
  <c r="H91" i="22"/>
  <c r="F91" i="22"/>
  <c r="H90" i="22"/>
  <c r="F90" i="22"/>
  <c r="H89" i="22"/>
  <c r="F89" i="22"/>
  <c r="G89" i="22" s="1"/>
  <c r="H88" i="22"/>
  <c r="F88" i="22"/>
  <c r="H87" i="22"/>
  <c r="F87" i="22"/>
  <c r="G87" i="22" s="1"/>
  <c r="H86" i="22"/>
  <c r="F86" i="22"/>
  <c r="G86" i="22" s="1"/>
  <c r="H85" i="22"/>
  <c r="F85" i="22"/>
  <c r="G85" i="22" s="1"/>
  <c r="H84" i="22"/>
  <c r="F84" i="22"/>
  <c r="H83" i="22"/>
  <c r="F83" i="22"/>
  <c r="H82" i="22"/>
  <c r="F82" i="22"/>
  <c r="H81" i="22"/>
  <c r="F81" i="22"/>
  <c r="H80" i="22"/>
  <c r="F80" i="22"/>
  <c r="H79" i="22"/>
  <c r="F79" i="22"/>
  <c r="H78" i="22"/>
  <c r="F78" i="22"/>
  <c r="H77" i="22"/>
  <c r="F77" i="22"/>
  <c r="H75" i="22"/>
  <c r="F75" i="22"/>
  <c r="H74" i="22"/>
  <c r="F74" i="22"/>
  <c r="H73" i="22"/>
  <c r="F73" i="22"/>
  <c r="F72" i="22"/>
  <c r="H71" i="22"/>
  <c r="F71" i="22"/>
  <c r="H70" i="22"/>
  <c r="F70" i="22"/>
  <c r="H69" i="22"/>
  <c r="H68" i="22"/>
  <c r="F68" i="22"/>
  <c r="H67" i="22"/>
  <c r="F67" i="22"/>
  <c r="H66" i="22"/>
  <c r="F66" i="22"/>
  <c r="G66" i="22" s="1"/>
  <c r="H65" i="22"/>
  <c r="F65" i="22"/>
  <c r="H64" i="22"/>
  <c r="F64" i="22"/>
  <c r="G64" i="22" s="1"/>
  <c r="H63" i="22"/>
  <c r="F63" i="22"/>
  <c r="H62" i="22"/>
  <c r="F62" i="22"/>
  <c r="G62" i="22" s="1"/>
  <c r="H61" i="22"/>
  <c r="F61" i="22"/>
  <c r="H60" i="22"/>
  <c r="F60" i="22"/>
  <c r="H59" i="22"/>
  <c r="F59" i="22"/>
  <c r="H58" i="22"/>
  <c r="F58" i="22"/>
  <c r="H57" i="22"/>
  <c r="F57" i="22"/>
  <c r="H56" i="22"/>
  <c r="F56" i="22"/>
  <c r="H55" i="22"/>
  <c r="F55" i="22"/>
  <c r="H54" i="22"/>
  <c r="F54" i="22"/>
  <c r="G74" i="22"/>
  <c r="G67" i="22"/>
  <c r="G61" i="22"/>
  <c r="G59" i="22"/>
  <c r="G78" i="22"/>
  <c r="G98" i="22"/>
  <c r="G55" i="22"/>
  <c r="G106" i="22"/>
  <c r="G130" i="22"/>
  <c r="G139" i="22"/>
  <c r="G114" i="22"/>
  <c r="G91" i="22"/>
  <c r="G140" i="22"/>
  <c r="G75" i="22"/>
  <c r="G56" i="22"/>
  <c r="G104" i="22"/>
  <c r="G127" i="22"/>
  <c r="G105" i="22"/>
  <c r="G124" i="22"/>
  <c r="G73" i="22"/>
  <c r="G96" i="22"/>
  <c r="G129" i="22"/>
  <c r="G81" i="22"/>
  <c r="G83" i="22"/>
  <c r="G93" i="22"/>
  <c r="G84" i="22"/>
  <c r="G116" i="22"/>
  <c r="G143" i="22"/>
  <c r="G144" i="22"/>
  <c r="G58" i="22"/>
  <c r="G79" i="22"/>
  <c r="G141" i="22"/>
  <c r="G60" i="22"/>
  <c r="G136" i="22"/>
  <c r="G118" i="22"/>
  <c r="G95" i="22"/>
  <c r="G119" i="22"/>
  <c r="G120" i="22"/>
  <c r="G113" i="22"/>
  <c r="G82" i="22"/>
  <c r="G125" i="22"/>
  <c r="G121" i="22"/>
  <c r="G142" i="22"/>
  <c r="G102" i="22"/>
  <c r="G101" i="22"/>
  <c r="G90" i="22"/>
  <c r="G97" i="22"/>
  <c r="G117" i="22"/>
  <c r="G94" i="22"/>
  <c r="G128" i="22"/>
  <c r="G68" i="22"/>
  <c r="G72" i="22"/>
  <c r="G71" i="22"/>
  <c r="G137" i="22"/>
  <c r="G107" i="22"/>
  <c r="G70" i="22"/>
  <c r="I86" i="22" l="1"/>
  <c r="G88" i="22"/>
  <c r="I88" i="22" s="1"/>
  <c r="G63" i="22"/>
  <c r="I63" i="22" s="1"/>
  <c r="G65" i="22"/>
  <c r="I65" i="22" s="1"/>
  <c r="I87" i="22"/>
  <c r="I62" i="22"/>
  <c r="I64" i="22"/>
  <c r="I66" i="22"/>
  <c r="I85" i="22"/>
  <c r="I58" i="22"/>
  <c r="I59" i="22"/>
  <c r="I60" i="22"/>
  <c r="I61" i="22"/>
  <c r="I67" i="22"/>
  <c r="I68" i="22"/>
  <c r="I78" i="22"/>
  <c r="I79" i="22"/>
  <c r="I70" i="22"/>
  <c r="I71" i="22"/>
  <c r="I72" i="22"/>
  <c r="I55" i="22"/>
  <c r="I56" i="22"/>
  <c r="I73" i="22"/>
  <c r="I74" i="22"/>
  <c r="I75" i="22"/>
  <c r="I81" i="22"/>
  <c r="I82" i="22"/>
  <c r="I83" i="22"/>
  <c r="I84" i="22"/>
  <c r="I90" i="22"/>
  <c r="I91" i="22"/>
  <c r="I93" i="22"/>
  <c r="I94" i="22"/>
  <c r="I95" i="22"/>
  <c r="I96" i="22"/>
  <c r="I97" i="22"/>
  <c r="I98" i="22"/>
  <c r="I101" i="22"/>
  <c r="I102" i="22"/>
  <c r="I116" i="22"/>
  <c r="I117" i="22"/>
  <c r="I118" i="22"/>
  <c r="I119" i="22"/>
  <c r="I120" i="22"/>
  <c r="I121" i="22"/>
  <c r="I124" i="22"/>
  <c r="I125" i="22"/>
  <c r="I139" i="22"/>
  <c r="I140" i="22"/>
  <c r="I141" i="22"/>
  <c r="I142" i="22"/>
  <c r="I143" i="22"/>
  <c r="I144" i="22"/>
  <c r="I104" i="22"/>
  <c r="I105" i="22"/>
  <c r="I106" i="22"/>
  <c r="I107" i="22"/>
  <c r="I113" i="22"/>
  <c r="I114" i="22"/>
  <c r="I127" i="22"/>
  <c r="I128" i="22"/>
  <c r="I129" i="22"/>
  <c r="I130" i="22"/>
  <c r="I136" i="22"/>
  <c r="I137" i="22"/>
  <c r="I89" i="22"/>
  <c r="I108" i="22"/>
  <c r="I109" i="22"/>
  <c r="I110" i="22"/>
  <c r="I111" i="22"/>
  <c r="I112" i="22"/>
  <c r="I131" i="22"/>
  <c r="I132" i="22"/>
  <c r="I133" i="22"/>
  <c r="I134" i="22"/>
  <c r="I135" i="22"/>
  <c r="I54" i="22" l="1"/>
  <c r="I126" i="22"/>
  <c r="I103" i="22"/>
  <c r="I138" i="22"/>
  <c r="I123" i="22"/>
  <c r="I115" i="22"/>
  <c r="I100" i="22"/>
  <c r="I92" i="22"/>
  <c r="I80" i="22"/>
  <c r="I69" i="22"/>
  <c r="I77" i="22"/>
  <c r="I57" i="22"/>
  <c r="F42" i="29" l="1"/>
  <c r="A42" i="29"/>
  <c r="F41" i="29"/>
  <c r="A41" i="29"/>
  <c r="I201" i="28"/>
  <c r="D160" i="38" s="1"/>
  <c r="A40" i="29"/>
  <c r="A39" i="29"/>
  <c r="F38" i="29"/>
  <c r="G38" i="29" s="1"/>
  <c r="A38" i="29"/>
  <c r="A37" i="29"/>
  <c r="F35" i="29"/>
  <c r="A34" i="29"/>
  <c r="F33" i="29"/>
  <c r="F32" i="29"/>
  <c r="A31" i="29"/>
  <c r="G33" i="29" l="1"/>
  <c r="H199" i="28"/>
  <c r="I38" i="29"/>
  <c r="I199" i="28" s="1"/>
  <c r="D159" i="38" s="1"/>
  <c r="G32" i="29"/>
  <c r="G35" i="29"/>
  <c r="G41" i="29"/>
  <c r="G42" i="29"/>
  <c r="A326" i="22"/>
  <c r="A333" i="22"/>
  <c r="A334" i="22"/>
  <c r="A335" i="22"/>
  <c r="A336" i="22"/>
  <c r="A337" i="22"/>
  <c r="A338" i="22"/>
  <c r="A339" i="22"/>
  <c r="A340" i="22"/>
  <c r="A327" i="22"/>
  <c r="A328" i="22"/>
  <c r="A329" i="22"/>
  <c r="A330" i="22"/>
  <c r="A331" i="22"/>
  <c r="A332" i="22"/>
  <c r="H56" i="26"/>
  <c r="A56" i="26"/>
  <c r="A43" i="26"/>
  <c r="H51" i="26"/>
  <c r="I56" i="28"/>
  <c r="D48" i="38" s="1"/>
  <c r="I36" i="28"/>
  <c r="D27" i="38" s="1"/>
  <c r="G46" i="26"/>
  <c r="G43" i="26"/>
  <c r="G56" i="26"/>
  <c r="G32" i="26"/>
  <c r="I56" i="26" l="1"/>
  <c r="I69" i="28" s="1"/>
  <c r="D61" i="38" s="1"/>
  <c r="I43" i="26"/>
  <c r="I50" i="28" s="1"/>
  <c r="D41" i="38" s="1"/>
  <c r="I32" i="26"/>
  <c r="I34" i="28" s="1"/>
  <c r="D25" i="38" s="1"/>
  <c r="H202" i="28"/>
  <c r="I41" i="29"/>
  <c r="I202" i="28" s="1"/>
  <c r="D161" i="38" s="1"/>
  <c r="I32" i="29"/>
  <c r="I193" i="28" s="1"/>
  <c r="D155" i="38" s="1"/>
  <c r="H193" i="28"/>
  <c r="H194" i="28"/>
  <c r="I33" i="29"/>
  <c r="I194" i="28" s="1"/>
  <c r="D156" i="38" s="1"/>
  <c r="I42" i="29"/>
  <c r="I203" i="28" s="1"/>
  <c r="D162" i="38" s="1"/>
  <c r="H203" i="28"/>
  <c r="H197" i="28"/>
  <c r="I35" i="29"/>
  <c r="I197" i="28" s="1"/>
  <c r="D158" i="38" s="1"/>
  <c r="H69" i="28"/>
  <c r="H54" i="28"/>
  <c r="H50" i="28"/>
  <c r="H34" i="28"/>
  <c r="I62" i="28"/>
  <c r="D54" i="38" s="1"/>
  <c r="F33" i="28"/>
  <c r="F48" i="28" s="1"/>
  <c r="E21" i="25"/>
  <c r="H119" i="28" l="1"/>
  <c r="A33" i="28"/>
  <c r="A24" i="38" s="1"/>
  <c r="A34" i="28"/>
  <c r="A25" i="38" s="1"/>
  <c r="F34" i="28"/>
  <c r="F35" i="28" s="1"/>
  <c r="F36" i="28" s="1"/>
  <c r="A35" i="28"/>
  <c r="A26" i="38" s="1"/>
  <c r="A36" i="28"/>
  <c r="A27" i="38" s="1"/>
  <c r="A37" i="28"/>
  <c r="A28" i="38" s="1"/>
  <c r="A38" i="28"/>
  <c r="A29" i="38" s="1"/>
  <c r="A39" i="28"/>
  <c r="A30" i="38" s="1"/>
  <c r="A41" i="28"/>
  <c r="A32" i="38" s="1"/>
  <c r="A42" i="28"/>
  <c r="A33" i="38" s="1"/>
  <c r="A44" i="28"/>
  <c r="A35" i="38" s="1"/>
  <c r="A48" i="28"/>
  <c r="A39" i="38" s="1"/>
  <c r="A50" i="28"/>
  <c r="A41" i="38" s="1"/>
  <c r="A54" i="28"/>
  <c r="A46" i="38" s="1"/>
  <c r="A55" i="28"/>
  <c r="A47" i="38" s="1"/>
  <c r="A56" i="28"/>
  <c r="A48" i="38" s="1"/>
  <c r="A57" i="28"/>
  <c r="A49" i="38" s="1"/>
  <c r="A58" i="28"/>
  <c r="A50" i="38" s="1"/>
  <c r="A59" i="28"/>
  <c r="A51" i="38" s="1"/>
  <c r="A61" i="28"/>
  <c r="A53" i="38" s="1"/>
  <c r="A63" i="28"/>
  <c r="A55" i="38" s="1"/>
  <c r="A67" i="28"/>
  <c r="A59" i="38" s="1"/>
  <c r="A69" i="28"/>
  <c r="A61" i="38" s="1"/>
  <c r="A100" i="28"/>
  <c r="A91" i="38" s="1"/>
  <c r="A104" i="28"/>
  <c r="A92" i="38" s="1"/>
  <c r="A105" i="28"/>
  <c r="A93" i="38" s="1"/>
  <c r="A106" i="28"/>
  <c r="A94" i="38" s="1"/>
  <c r="A107" i="28"/>
  <c r="A95" i="38" s="1"/>
  <c r="A108" i="28"/>
  <c r="A96" i="38" s="1"/>
  <c r="A109" i="28"/>
  <c r="A97" i="38" s="1"/>
  <c r="A110" i="28"/>
  <c r="A98" i="38" s="1"/>
  <c r="I119" i="28" l="1"/>
  <c r="D106" i="38" s="1"/>
  <c r="F37" i="28"/>
  <c r="F44" i="28"/>
  <c r="A31" i="22"/>
  <c r="F31" i="22"/>
  <c r="H31" i="22"/>
  <c r="F32" i="22"/>
  <c r="G32" i="22"/>
  <c r="F38" i="28" l="1"/>
  <c r="F50" i="28" s="1"/>
  <c r="H32" i="22"/>
  <c r="I32" i="22" s="1"/>
  <c r="F33" i="22"/>
  <c r="G33" i="22"/>
  <c r="F39" i="28" l="1"/>
  <c r="F40" i="28" s="1"/>
  <c r="H33" i="22"/>
  <c r="I33" i="22" s="1"/>
  <c r="A34" i="22"/>
  <c r="F34" i="22"/>
  <c r="H34" i="22"/>
  <c r="F35" i="22"/>
  <c r="G35" i="22"/>
  <c r="I43" i="28" l="1"/>
  <c r="D34" i="38" s="1"/>
  <c r="I31" i="22"/>
  <c r="H35" i="22"/>
  <c r="I35" i="22" s="1"/>
  <c r="F36" i="22"/>
  <c r="G36" i="22"/>
  <c r="H36" i="22" l="1"/>
  <c r="I36" i="22" s="1"/>
  <c r="A37" i="22"/>
  <c r="F37" i="22"/>
  <c r="G37" i="22"/>
  <c r="I34" i="22" l="1"/>
  <c r="H37" i="22"/>
  <c r="I37" i="22" s="1"/>
  <c r="H322" i="22" l="1"/>
  <c r="F322" i="22"/>
  <c r="A322" i="22"/>
  <c r="H321" i="22"/>
  <c r="G322" i="22"/>
  <c r="I322" i="22" l="1"/>
  <c r="F321" i="22"/>
  <c r="A321" i="22"/>
  <c r="H320" i="22"/>
  <c r="G321" i="22"/>
  <c r="I321" i="22" l="1"/>
  <c r="F320" i="22"/>
  <c r="A320" i="22"/>
  <c r="H319" i="22"/>
  <c r="G320" i="22"/>
  <c r="I320" i="22" l="1"/>
  <c r="F319" i="22"/>
  <c r="H318" i="22"/>
  <c r="G319" i="22"/>
  <c r="I319" i="22" l="1"/>
  <c r="F318" i="22"/>
  <c r="H317" i="22"/>
  <c r="G318" i="22"/>
  <c r="I318" i="22" l="1"/>
  <c r="F317" i="22"/>
  <c r="H316" i="22"/>
  <c r="G317" i="22"/>
  <c r="I317" i="22" l="1"/>
  <c r="F316" i="22"/>
  <c r="H315" i="22"/>
  <c r="A315" i="22"/>
  <c r="H314" i="22"/>
  <c r="G316" i="22"/>
  <c r="I316" i="22" l="1"/>
  <c r="F314" i="22"/>
  <c r="A314" i="22"/>
  <c r="H313" i="22"/>
  <c r="G314" i="22"/>
  <c r="I315" i="22" l="1"/>
  <c r="I314" i="22"/>
  <c r="F313" i="22"/>
  <c r="A313" i="22"/>
  <c r="H312" i="22"/>
  <c r="F312" i="22"/>
  <c r="G312" i="22" s="1"/>
  <c r="I312" i="22" s="1"/>
  <c r="A312" i="22"/>
  <c r="H311" i="22"/>
  <c r="F311" i="22"/>
  <c r="G311" i="22" s="1"/>
  <c r="A311" i="22"/>
  <c r="H310" i="22"/>
  <c r="F310" i="22"/>
  <c r="G310" i="22" s="1"/>
  <c r="I310" i="22" s="1"/>
  <c r="A310" i="22"/>
  <c r="H309" i="22"/>
  <c r="F309" i="22"/>
  <c r="A309" i="22"/>
  <c r="H308" i="22"/>
  <c r="F308" i="22"/>
  <c r="G308" i="22" s="1"/>
  <c r="A308" i="22"/>
  <c r="H307" i="22"/>
  <c r="G313" i="22"/>
  <c r="G309" i="22" l="1"/>
  <c r="I309" i="22" s="1"/>
  <c r="I311" i="22"/>
  <c r="I308" i="22"/>
  <c r="I313" i="22"/>
  <c r="F307" i="22"/>
  <c r="A307" i="22"/>
  <c r="H306" i="22"/>
  <c r="G307" i="22"/>
  <c r="I307" i="22" l="1"/>
  <c r="F306" i="22"/>
  <c r="H305" i="22"/>
  <c r="G306" i="22"/>
  <c r="I306" i="22" l="1"/>
  <c r="F305" i="22"/>
  <c r="H304" i="22"/>
  <c r="A304" i="22"/>
  <c r="H303" i="22"/>
  <c r="G305" i="22"/>
  <c r="I305" i="22" l="1"/>
  <c r="F303" i="22"/>
  <c r="H302" i="22"/>
  <c r="G303" i="22"/>
  <c r="I304" i="22" l="1"/>
  <c r="I303" i="22"/>
  <c r="F302" i="22"/>
  <c r="H301" i="22"/>
  <c r="F301" i="22"/>
  <c r="A301" i="22"/>
  <c r="H300" i="22"/>
  <c r="G302" i="22"/>
  <c r="I302" i="22" l="1"/>
  <c r="F300" i="22"/>
  <c r="H299" i="22"/>
  <c r="G300" i="22"/>
  <c r="I301" i="22" l="1"/>
  <c r="I300" i="22"/>
  <c r="F299" i="22"/>
  <c r="H298" i="22"/>
  <c r="F298" i="22"/>
  <c r="A298" i="22"/>
  <c r="H296" i="22"/>
  <c r="G299" i="22"/>
  <c r="I299" i="22" l="1"/>
  <c r="F296" i="22"/>
  <c r="A296" i="22"/>
  <c r="H295" i="22"/>
  <c r="G296" i="22"/>
  <c r="I298" i="22" l="1"/>
  <c r="I296" i="22"/>
  <c r="F295" i="22"/>
  <c r="A295" i="22"/>
  <c r="H294" i="22"/>
  <c r="G295" i="22"/>
  <c r="I295" i="22" l="1"/>
  <c r="F294" i="22"/>
  <c r="A294" i="22"/>
  <c r="H293" i="22"/>
  <c r="G294" i="22"/>
  <c r="I294" i="22" l="1"/>
  <c r="F293" i="22"/>
  <c r="H292" i="22"/>
  <c r="G293" i="22"/>
  <c r="I293" i="22" l="1"/>
  <c r="F292" i="22"/>
  <c r="H291" i="22"/>
  <c r="G292" i="22"/>
  <c r="I292" i="22" l="1"/>
  <c r="F291" i="22"/>
  <c r="H290" i="22"/>
  <c r="G291" i="22"/>
  <c r="I291" i="22" l="1"/>
  <c r="F290" i="22"/>
  <c r="H289" i="22"/>
  <c r="A289" i="22"/>
  <c r="H288" i="22"/>
  <c r="G290" i="22"/>
  <c r="I290" i="22" l="1"/>
  <c r="F288" i="22"/>
  <c r="H287" i="22"/>
  <c r="G288" i="22"/>
  <c r="I289" i="22" l="1"/>
  <c r="I288" i="22"/>
  <c r="F287" i="22"/>
  <c r="A286" i="22"/>
  <c r="H285" i="22"/>
  <c r="G287" i="22"/>
  <c r="I287" i="22" l="1"/>
  <c r="F285" i="22"/>
  <c r="A285" i="22"/>
  <c r="H284" i="22"/>
  <c r="F284" i="22"/>
  <c r="G284" i="22" s="1"/>
  <c r="A284" i="22"/>
  <c r="H283" i="22"/>
  <c r="F283" i="22"/>
  <c r="G283" i="22" s="1"/>
  <c r="A283" i="22"/>
  <c r="H282" i="22"/>
  <c r="F282" i="22"/>
  <c r="G282" i="22" s="1"/>
  <c r="A282" i="22"/>
  <c r="H281" i="22"/>
  <c r="F281" i="22"/>
  <c r="G281" i="22" s="1"/>
  <c r="A281" i="22"/>
  <c r="H280" i="22"/>
  <c r="F280" i="22"/>
  <c r="G280" i="22" s="1"/>
  <c r="A280" i="22"/>
  <c r="H279" i="22"/>
  <c r="G285" i="22"/>
  <c r="I282" i="22" l="1"/>
  <c r="I280" i="22"/>
  <c r="I284" i="22"/>
  <c r="I286" i="22"/>
  <c r="I283" i="22"/>
  <c r="I281" i="22"/>
  <c r="I285" i="22"/>
  <c r="F279" i="22"/>
  <c r="A279" i="22"/>
  <c r="H278" i="22"/>
  <c r="G279" i="22"/>
  <c r="I279" i="22" l="1"/>
  <c r="F278" i="22"/>
  <c r="H277" i="22"/>
  <c r="G278" i="22"/>
  <c r="I278" i="22" l="1"/>
  <c r="F277" i="22"/>
  <c r="H276" i="22"/>
  <c r="A276" i="22"/>
  <c r="H275" i="22"/>
  <c r="G277" i="22"/>
  <c r="I277" i="22" l="1"/>
  <c r="F275" i="22"/>
  <c r="H274" i="22"/>
  <c r="G275" i="22"/>
  <c r="I276" i="22" l="1"/>
  <c r="I275" i="22"/>
  <c r="F274" i="22"/>
  <c r="H273" i="22"/>
  <c r="G274" i="22"/>
  <c r="I274" i="22" l="1"/>
  <c r="F273" i="22"/>
  <c r="H272" i="22"/>
  <c r="F272" i="22"/>
  <c r="A272" i="22"/>
  <c r="H271" i="22"/>
  <c r="G273" i="22"/>
  <c r="I273" i="22" l="1"/>
  <c r="F271" i="22"/>
  <c r="H270" i="22"/>
  <c r="G271" i="22"/>
  <c r="I272" i="22" l="1"/>
  <c r="I271" i="22"/>
  <c r="F270" i="22"/>
  <c r="H269" i="22"/>
  <c r="F269" i="22"/>
  <c r="A269" i="22"/>
  <c r="H267" i="22"/>
  <c r="G270" i="22"/>
  <c r="I270" i="22" l="1"/>
  <c r="F267" i="22"/>
  <c r="A267" i="22"/>
  <c r="H266" i="22"/>
  <c r="G267" i="22"/>
  <c r="I269" i="22" l="1"/>
  <c r="I267" i="22"/>
  <c r="F266" i="22"/>
  <c r="A266" i="22"/>
  <c r="H265" i="22"/>
  <c r="G266" i="22"/>
  <c r="I266" i="22" l="1"/>
  <c r="F265" i="22"/>
  <c r="A265" i="22"/>
  <c r="H264" i="22"/>
  <c r="G265" i="22"/>
  <c r="I265" i="22" l="1"/>
  <c r="F264" i="22"/>
  <c r="H263" i="22"/>
  <c r="G264" i="22"/>
  <c r="I264" i="22" l="1"/>
  <c r="F263" i="22"/>
  <c r="H262" i="22"/>
  <c r="G263" i="22"/>
  <c r="I263" i="22" l="1"/>
  <c r="F262" i="22"/>
  <c r="H261" i="22"/>
  <c r="G262" i="22"/>
  <c r="I262" i="22" l="1"/>
  <c r="F261" i="22"/>
  <c r="H260" i="22"/>
  <c r="A260" i="22"/>
  <c r="H259" i="22"/>
  <c r="G261" i="22"/>
  <c r="I261" i="22" l="1"/>
  <c r="F259" i="22"/>
  <c r="A259" i="22"/>
  <c r="H258" i="22"/>
  <c r="G259" i="22"/>
  <c r="I260" i="22" l="1"/>
  <c r="I259" i="22"/>
  <c r="F258" i="22"/>
  <c r="A258" i="22"/>
  <c r="H257" i="22"/>
  <c r="F257" i="22"/>
  <c r="G257" i="22" s="1"/>
  <c r="A257" i="22"/>
  <c r="H256" i="22"/>
  <c r="F256" i="22"/>
  <c r="G256" i="22" s="1"/>
  <c r="A256" i="22"/>
  <c r="H255" i="22"/>
  <c r="F255" i="22"/>
  <c r="G255" i="22" s="1"/>
  <c r="A255" i="22"/>
  <c r="H254" i="22"/>
  <c r="F254" i="22"/>
  <c r="G254" i="22" s="1"/>
  <c r="A254" i="22"/>
  <c r="H253" i="22"/>
  <c r="F253" i="22"/>
  <c r="G253" i="22" s="1"/>
  <c r="A253" i="22"/>
  <c r="H252" i="22"/>
  <c r="G258" i="22"/>
  <c r="I255" i="22" l="1"/>
  <c r="I253" i="22"/>
  <c r="I256" i="22"/>
  <c r="I254" i="22"/>
  <c r="I257" i="22"/>
  <c r="I258" i="22"/>
  <c r="F252" i="22"/>
  <c r="A252" i="22"/>
  <c r="H251" i="22"/>
  <c r="G252" i="22"/>
  <c r="I252" i="22" l="1"/>
  <c r="F251" i="22"/>
  <c r="H250" i="22"/>
  <c r="G251" i="22"/>
  <c r="I251" i="22" l="1"/>
  <c r="F250" i="22"/>
  <c r="H249" i="22"/>
  <c r="A249" i="22"/>
  <c r="H248" i="22"/>
  <c r="G250" i="22"/>
  <c r="I250" i="22" l="1"/>
  <c r="F248" i="22"/>
  <c r="H247" i="22"/>
  <c r="G248" i="22"/>
  <c r="I249" i="22" l="1"/>
  <c r="I248" i="22"/>
  <c r="F247" i="22"/>
  <c r="H246" i="22"/>
  <c r="F246" i="22"/>
  <c r="A246" i="22"/>
  <c r="H245" i="22"/>
  <c r="G247" i="22"/>
  <c r="I247" i="22" l="1"/>
  <c r="F245" i="22"/>
  <c r="H244" i="22"/>
  <c r="G245" i="22"/>
  <c r="I246" i="22" l="1"/>
  <c r="I245" i="22"/>
  <c r="F244" i="22"/>
  <c r="H243" i="22"/>
  <c r="F243" i="22"/>
  <c r="A243" i="22"/>
  <c r="G244" i="22"/>
  <c r="I244" i="22" l="1"/>
  <c r="F241" i="22"/>
  <c r="A241" i="22"/>
  <c r="F240" i="22"/>
  <c r="G240" i="22" s="1"/>
  <c r="I240" i="22" s="1"/>
  <c r="A240" i="22"/>
  <c r="F239" i="22"/>
  <c r="G239" i="22" s="1"/>
  <c r="I239" i="22" s="1"/>
  <c r="A239" i="22"/>
  <c r="H238" i="22"/>
  <c r="G241" i="22"/>
  <c r="I243" i="22" l="1"/>
  <c r="I241" i="22"/>
  <c r="F238" i="22"/>
  <c r="A238" i="22"/>
  <c r="H236" i="22"/>
  <c r="G238" i="22"/>
  <c r="I238" i="22" l="1"/>
  <c r="F236" i="22"/>
  <c r="A236" i="22"/>
  <c r="H235" i="22"/>
  <c r="G236" i="22"/>
  <c r="I236" i="22" l="1"/>
  <c r="F235" i="22"/>
  <c r="A235" i="22"/>
  <c r="H234" i="22"/>
  <c r="G235" i="22"/>
  <c r="I235" i="22" l="1"/>
  <c r="F234" i="22"/>
  <c r="A234" i="22"/>
  <c r="H233" i="22"/>
  <c r="G234" i="22"/>
  <c r="I234" i="22" l="1"/>
  <c r="F233" i="22"/>
  <c r="H232" i="22"/>
  <c r="G233" i="22"/>
  <c r="I233" i="22" l="1"/>
  <c r="F232" i="22"/>
  <c r="H231" i="22"/>
  <c r="G232" i="22"/>
  <c r="I232" i="22" l="1"/>
  <c r="F231" i="22"/>
  <c r="H230" i="22"/>
  <c r="A230" i="22"/>
  <c r="H229" i="22"/>
  <c r="G231" i="22"/>
  <c r="I231" i="22" l="1"/>
  <c r="F229" i="22"/>
  <c r="A229" i="22"/>
  <c r="H228" i="22"/>
  <c r="G229" i="22"/>
  <c r="I230" i="22" l="1"/>
  <c r="I229" i="22"/>
  <c r="F228" i="22"/>
  <c r="A228" i="22"/>
  <c r="H227" i="22"/>
  <c r="F227" i="22"/>
  <c r="G227" i="22" s="1"/>
  <c r="I227" i="22" s="1"/>
  <c r="A227" i="22"/>
  <c r="H226" i="22"/>
  <c r="F226" i="22"/>
  <c r="G226" i="22" s="1"/>
  <c r="A226" i="22"/>
  <c r="H225" i="22"/>
  <c r="F225" i="22"/>
  <c r="G225" i="22" s="1"/>
  <c r="I225" i="22" s="1"/>
  <c r="A225" i="22"/>
  <c r="H224" i="22"/>
  <c r="F224" i="22"/>
  <c r="A224" i="22"/>
  <c r="H223" i="22"/>
  <c r="F223" i="22"/>
  <c r="G223" i="22" s="1"/>
  <c r="A223" i="22"/>
  <c r="H222" i="22"/>
  <c r="G228" i="22"/>
  <c r="G224" i="22" l="1"/>
  <c r="I224" i="22" s="1"/>
  <c r="I226" i="22"/>
  <c r="I223" i="22"/>
  <c r="I228" i="22"/>
  <c r="F222" i="22"/>
  <c r="A222" i="22"/>
  <c r="H221" i="22"/>
  <c r="G222" i="22"/>
  <c r="I222" i="22" l="1"/>
  <c r="F221" i="22"/>
  <c r="A221" i="22"/>
  <c r="H220" i="22"/>
  <c r="G221" i="22"/>
  <c r="I221" i="22" l="1"/>
  <c r="F220" i="22"/>
  <c r="H219" i="22"/>
  <c r="G220" i="22"/>
  <c r="I220" i="22" l="1"/>
  <c r="F219" i="22"/>
  <c r="H218" i="22"/>
  <c r="F218" i="22"/>
  <c r="A218" i="22"/>
  <c r="H217" i="22"/>
  <c r="G219" i="22"/>
  <c r="I219" i="22" l="1"/>
  <c r="F217" i="22"/>
  <c r="H216" i="22"/>
  <c r="G217" i="22"/>
  <c r="I218" i="22" l="1"/>
  <c r="I217" i="22"/>
  <c r="F216" i="22"/>
  <c r="H215" i="22"/>
  <c r="F215" i="22"/>
  <c r="A215" i="22"/>
  <c r="H213" i="22"/>
  <c r="G216" i="22"/>
  <c r="I216" i="22" l="1"/>
  <c r="F213" i="22"/>
  <c r="A213" i="22"/>
  <c r="H212" i="22"/>
  <c r="G213" i="22"/>
  <c r="I215" i="22" l="1"/>
  <c r="I213" i="22"/>
  <c r="F212" i="22"/>
  <c r="A212" i="22"/>
  <c r="H211" i="22"/>
  <c r="G212" i="22"/>
  <c r="I212" i="22" l="1"/>
  <c r="F211" i="22"/>
  <c r="A211" i="22"/>
  <c r="H210" i="22"/>
  <c r="G211" i="22"/>
  <c r="I211" i="22" l="1"/>
  <c r="F210" i="22"/>
  <c r="H209" i="22"/>
  <c r="G210" i="22"/>
  <c r="I210" i="22" l="1"/>
  <c r="F209" i="22"/>
  <c r="H208" i="22"/>
  <c r="G209" i="22"/>
  <c r="I209" i="22" l="1"/>
  <c r="F208" i="22"/>
  <c r="H207" i="22"/>
  <c r="A207" i="22"/>
  <c r="H206" i="22"/>
  <c r="G208" i="22"/>
  <c r="I208" i="22" l="1"/>
  <c r="F206" i="22"/>
  <c r="A206" i="22"/>
  <c r="H205" i="22"/>
  <c r="G206" i="22"/>
  <c r="I207" i="22" l="1"/>
  <c r="I206" i="22"/>
  <c r="F205" i="22"/>
  <c r="A205" i="22"/>
  <c r="H204" i="22"/>
  <c r="F204" i="22"/>
  <c r="G204" i="22" s="1"/>
  <c r="A204" i="22"/>
  <c r="H203" i="22"/>
  <c r="F203" i="22"/>
  <c r="G203" i="22" s="1"/>
  <c r="A203" i="22"/>
  <c r="H202" i="22"/>
  <c r="F202" i="22"/>
  <c r="G202" i="22" s="1"/>
  <c r="I202" i="22" s="1"/>
  <c r="A202" i="22"/>
  <c r="H201" i="22"/>
  <c r="F201" i="22"/>
  <c r="A201" i="22"/>
  <c r="H200" i="22"/>
  <c r="F200" i="22"/>
  <c r="G200" i="22" s="1"/>
  <c r="A200" i="22"/>
  <c r="H199" i="22"/>
  <c r="G205" i="22"/>
  <c r="G201" i="22" l="1"/>
  <c r="I201" i="22" s="1"/>
  <c r="I200" i="22"/>
  <c r="I203" i="22"/>
  <c r="I204" i="22"/>
  <c r="I205" i="22"/>
  <c r="F199" i="22"/>
  <c r="A199" i="22"/>
  <c r="H198" i="22"/>
  <c r="G199" i="22"/>
  <c r="I199" i="22" l="1"/>
  <c r="F198" i="22"/>
  <c r="A198" i="22"/>
  <c r="H197" i="22"/>
  <c r="G198" i="22"/>
  <c r="I198" i="22" l="1"/>
  <c r="F197" i="22"/>
  <c r="H196" i="22"/>
  <c r="G197" i="22"/>
  <c r="I197" i="22" l="1"/>
  <c r="F196" i="22"/>
  <c r="H195" i="22"/>
  <c r="F195" i="22"/>
  <c r="A195" i="22"/>
  <c r="H194" i="22"/>
  <c r="G196" i="22"/>
  <c r="I196" i="22" l="1"/>
  <c r="F194" i="22"/>
  <c r="H193" i="22"/>
  <c r="G194" i="22"/>
  <c r="I195" i="22" l="1"/>
  <c r="I194" i="22"/>
  <c r="F193" i="22"/>
  <c r="H192" i="22"/>
  <c r="F192" i="22"/>
  <c r="A192" i="22"/>
  <c r="H190" i="22"/>
  <c r="G193" i="22"/>
  <c r="I193" i="22" l="1"/>
  <c r="F190" i="22"/>
  <c r="A190" i="22"/>
  <c r="H189" i="22"/>
  <c r="G190" i="22"/>
  <c r="I192" i="22" l="1"/>
  <c r="I190" i="22"/>
  <c r="F189" i="22"/>
  <c r="A189" i="22"/>
  <c r="H188" i="22"/>
  <c r="G189" i="22"/>
  <c r="I189" i="22" l="1"/>
  <c r="F188" i="22"/>
  <c r="A188" i="22"/>
  <c r="H187" i="22"/>
  <c r="G188" i="22"/>
  <c r="I188" i="22" l="1"/>
  <c r="F187" i="22"/>
  <c r="H186" i="22"/>
  <c r="G187" i="22"/>
  <c r="I187" i="22" l="1"/>
  <c r="F186" i="22"/>
  <c r="H185" i="22"/>
  <c r="G186" i="22"/>
  <c r="I186" i="22" l="1"/>
  <c r="F185" i="22"/>
  <c r="H184" i="22"/>
  <c r="A184" i="22"/>
  <c r="H183" i="22"/>
  <c r="G185" i="22"/>
  <c r="I185" i="22" l="1"/>
  <c r="F183" i="22"/>
  <c r="A183" i="22"/>
  <c r="H182" i="22"/>
  <c r="G183" i="22"/>
  <c r="I184" i="22" l="1"/>
  <c r="I183" i="22"/>
  <c r="F182" i="22"/>
  <c r="A182" i="22"/>
  <c r="H181" i="22"/>
  <c r="F181" i="22"/>
  <c r="G181" i="22" s="1"/>
  <c r="I181" i="22" s="1"/>
  <c r="A181" i="22"/>
  <c r="H180" i="22"/>
  <c r="F180" i="22"/>
  <c r="G180" i="22" s="1"/>
  <c r="A180" i="22"/>
  <c r="H179" i="22"/>
  <c r="F179" i="22"/>
  <c r="G179" i="22" s="1"/>
  <c r="I179" i="22" s="1"/>
  <c r="A179" i="22"/>
  <c r="H178" i="22"/>
  <c r="F178" i="22"/>
  <c r="A178" i="22"/>
  <c r="H177" i="22"/>
  <c r="F177" i="22"/>
  <c r="G177" i="22" s="1"/>
  <c r="A177" i="22"/>
  <c r="H176" i="22"/>
  <c r="G182" i="22"/>
  <c r="G178" i="22" l="1"/>
  <c r="I178" i="22" s="1"/>
  <c r="I180" i="22"/>
  <c r="I177" i="22"/>
  <c r="I182" i="22"/>
  <c r="F176" i="22"/>
  <c r="A176" i="22"/>
  <c r="H175" i="22"/>
  <c r="G176" i="22"/>
  <c r="I176" i="22" l="1"/>
  <c r="F175" i="22"/>
  <c r="A175" i="22"/>
  <c r="H174" i="22"/>
  <c r="G175" i="22"/>
  <c r="I175" i="22" l="1"/>
  <c r="F174" i="22"/>
  <c r="H173" i="22"/>
  <c r="G174" i="22"/>
  <c r="I174" i="22" l="1"/>
  <c r="F173" i="22"/>
  <c r="H172" i="22"/>
  <c r="F172" i="22"/>
  <c r="A172" i="22"/>
  <c r="H171" i="22"/>
  <c r="G173" i="22"/>
  <c r="I173" i="22" l="1"/>
  <c r="F171" i="22"/>
  <c r="H170" i="22"/>
  <c r="G171" i="22"/>
  <c r="I172" i="22" l="1"/>
  <c r="I171" i="22"/>
  <c r="F170" i="22"/>
  <c r="H169" i="22"/>
  <c r="F169" i="22"/>
  <c r="A169" i="22"/>
  <c r="H167" i="22"/>
  <c r="G170" i="22"/>
  <c r="I170" i="22" l="1"/>
  <c r="F167" i="22"/>
  <c r="A167" i="22"/>
  <c r="H166" i="22"/>
  <c r="G167" i="22"/>
  <c r="I169" i="22" l="1"/>
  <c r="I167" i="22"/>
  <c r="F166" i="22"/>
  <c r="A166" i="22"/>
  <c r="H165" i="22"/>
  <c r="G166" i="22"/>
  <c r="I166" i="22" l="1"/>
  <c r="F165" i="22"/>
  <c r="A165" i="22"/>
  <c r="H164" i="22"/>
  <c r="G165" i="22"/>
  <c r="I165" i="22" l="1"/>
  <c r="F164" i="22"/>
  <c r="H163" i="22"/>
  <c r="G164" i="22"/>
  <c r="I164" i="22" l="1"/>
  <c r="F163" i="22"/>
  <c r="H162" i="22"/>
  <c r="G163" i="22"/>
  <c r="I163" i="22" l="1"/>
  <c r="F162" i="22"/>
  <c r="H161" i="22"/>
  <c r="A161" i="22"/>
  <c r="H160" i="22"/>
  <c r="G162" i="22"/>
  <c r="I162" i="22" l="1"/>
  <c r="F160" i="22"/>
  <c r="A160" i="22"/>
  <c r="H159" i="22"/>
  <c r="G160" i="22"/>
  <c r="I161" i="22" l="1"/>
  <c r="I160" i="22"/>
  <c r="F159" i="22"/>
  <c r="A159" i="22"/>
  <c r="H158" i="22"/>
  <c r="F158" i="22"/>
  <c r="G158" i="22" s="1"/>
  <c r="I158" i="22" s="1"/>
  <c r="A158" i="22"/>
  <c r="H157" i="22"/>
  <c r="F157" i="22"/>
  <c r="G157" i="22" s="1"/>
  <c r="A157" i="22"/>
  <c r="H156" i="22"/>
  <c r="F156" i="22"/>
  <c r="G156" i="22" s="1"/>
  <c r="I156" i="22" s="1"/>
  <c r="A156" i="22"/>
  <c r="H155" i="22"/>
  <c r="F155" i="22"/>
  <c r="A155" i="22"/>
  <c r="H154" i="22"/>
  <c r="F154" i="22"/>
  <c r="G154" i="22" s="1"/>
  <c r="A154" i="22"/>
  <c r="H153" i="22"/>
  <c r="G159" i="22"/>
  <c r="G155" i="22" l="1"/>
  <c r="I155" i="22" s="1"/>
  <c r="I157" i="22"/>
  <c r="I154" i="22"/>
  <c r="I159" i="22"/>
  <c r="F153" i="22"/>
  <c r="A153" i="22"/>
  <c r="H152" i="22"/>
  <c r="G153" i="22"/>
  <c r="I153" i="22" l="1"/>
  <c r="F152" i="22"/>
  <c r="A152" i="22"/>
  <c r="H151" i="22"/>
  <c r="G152" i="22"/>
  <c r="I152" i="22" l="1"/>
  <c r="F151" i="22"/>
  <c r="H150" i="22"/>
  <c r="G151" i="22"/>
  <c r="I151" i="22" l="1"/>
  <c r="F150" i="22"/>
  <c r="H149" i="22"/>
  <c r="F149" i="22"/>
  <c r="A149" i="22"/>
  <c r="H148" i="22"/>
  <c r="G150" i="22"/>
  <c r="I150" i="22" l="1"/>
  <c r="F148" i="22"/>
  <c r="H147" i="22"/>
  <c r="G148" i="22"/>
  <c r="I149" i="22" l="1"/>
  <c r="I148" i="22"/>
  <c r="F147" i="22"/>
  <c r="H146" i="22"/>
  <c r="F146" i="22"/>
  <c r="A146" i="22"/>
  <c r="G147" i="22"/>
  <c r="I147" i="22" l="1"/>
  <c r="A144" i="22"/>
  <c r="I146" i="22" l="1"/>
  <c r="A143" i="22"/>
  <c r="A142" i="22" l="1"/>
  <c r="A138" i="22" l="1"/>
  <c r="A137" i="22" l="1"/>
  <c r="A136" i="22" l="1"/>
  <c r="A135" i="22"/>
  <c r="A134" i="22"/>
  <c r="A133" i="22"/>
  <c r="A132" i="22"/>
  <c r="A131" i="22"/>
  <c r="A130" i="22" l="1"/>
  <c r="A129" i="22" l="1"/>
  <c r="A126" i="22" l="1"/>
  <c r="A123" i="22" l="1"/>
  <c r="A121" i="22" l="1"/>
  <c r="A120" i="22" l="1"/>
  <c r="A119" i="22" l="1"/>
  <c r="A115" i="22" l="1"/>
  <c r="A114" i="22" l="1"/>
  <c r="A113" i="22" l="1"/>
  <c r="A112" i="22"/>
  <c r="A111" i="22"/>
  <c r="A110" i="22"/>
  <c r="A109" i="22"/>
  <c r="A108" i="22"/>
  <c r="A107" i="22" l="1"/>
  <c r="A106" i="22" l="1"/>
  <c r="A103" i="22" l="1"/>
  <c r="A100" i="22" l="1"/>
  <c r="A98" i="22" l="1"/>
  <c r="A97" i="22" l="1"/>
  <c r="A96" i="22" l="1"/>
  <c r="A92" i="22" l="1"/>
  <c r="A91" i="22" l="1"/>
  <c r="A90" i="22" l="1"/>
  <c r="A89" i="22"/>
  <c r="A88" i="22"/>
  <c r="A87" i="22"/>
  <c r="A86" i="22"/>
  <c r="A85" i="22"/>
  <c r="A84" i="22" l="1"/>
  <c r="A83" i="22" l="1"/>
  <c r="A80" i="22" l="1"/>
  <c r="A77" i="22" l="1"/>
  <c r="A75" i="22" l="1"/>
  <c r="A74" i="22" l="1"/>
  <c r="A73" i="22" l="1"/>
  <c r="A69" i="22" l="1"/>
  <c r="A68" i="22" l="1"/>
  <c r="A67" i="22" l="1"/>
  <c r="A66" i="22"/>
  <c r="A65" i="22"/>
  <c r="A64" i="22"/>
  <c r="A63" i="22"/>
  <c r="A62" i="22"/>
  <c r="A61" i="22" l="1"/>
  <c r="A60" i="22" l="1"/>
  <c r="D328" i="22" l="1"/>
  <c r="A57" i="22"/>
  <c r="D327" i="22" l="1"/>
  <c r="A54" i="22"/>
  <c r="H52" i="22"/>
  <c r="F52" i="22" l="1"/>
  <c r="A52" i="22"/>
  <c r="H51" i="22"/>
  <c r="G52" i="22"/>
  <c r="I52" i="22" l="1"/>
  <c r="D340" i="22" s="1"/>
  <c r="F51" i="22"/>
  <c r="A51" i="22"/>
  <c r="H50" i="22"/>
  <c r="G51" i="22"/>
  <c r="D326" i="22" l="1"/>
  <c r="I51" i="22"/>
  <c r="D339" i="22" s="1"/>
  <c r="F50" i="22"/>
  <c r="A50" i="22"/>
  <c r="H49" i="22"/>
  <c r="G50" i="22"/>
  <c r="I50" i="22" l="1"/>
  <c r="D338" i="22" s="1"/>
  <c r="F49" i="22"/>
  <c r="H48" i="22"/>
  <c r="G49" i="22"/>
  <c r="I49" i="22" l="1"/>
  <c r="F48" i="22"/>
  <c r="H47" i="22"/>
  <c r="G48" i="22"/>
  <c r="I48" i="22" l="1"/>
  <c r="F47" i="22"/>
  <c r="A46" i="22"/>
  <c r="H45" i="22"/>
  <c r="G47" i="22"/>
  <c r="I47" i="22" l="1"/>
  <c r="F45" i="22"/>
  <c r="A45" i="22"/>
  <c r="H44" i="22"/>
  <c r="G45" i="22"/>
  <c r="I46" i="22" l="1"/>
  <c r="D337" i="22" s="1"/>
  <c r="I45" i="22"/>
  <c r="D336" i="22" s="1"/>
  <c r="F44" i="22"/>
  <c r="A44" i="22"/>
  <c r="H43" i="22"/>
  <c r="F43" i="22"/>
  <c r="G43" i="22" s="1"/>
  <c r="A43" i="22"/>
  <c r="H42" i="22"/>
  <c r="F42" i="22"/>
  <c r="A42" i="22"/>
  <c r="H41" i="22"/>
  <c r="F41" i="22"/>
  <c r="G41" i="22" s="1"/>
  <c r="A41" i="22"/>
  <c r="H40" i="22"/>
  <c r="F40" i="22"/>
  <c r="G40" i="22" s="1"/>
  <c r="A40" i="22"/>
  <c r="H39" i="22"/>
  <c r="F39" i="22"/>
  <c r="G39" i="22" s="1"/>
  <c r="A39" i="22"/>
  <c r="H38" i="22"/>
  <c r="G44" i="22"/>
  <c r="I41" i="22" l="1"/>
  <c r="D332" i="22" s="1"/>
  <c r="G42" i="22"/>
  <c r="I42" i="22" s="1"/>
  <c r="D333" i="22" s="1"/>
  <c r="I39" i="22"/>
  <c r="D330" i="22" s="1"/>
  <c r="I43" i="22"/>
  <c r="D334" i="22" s="1"/>
  <c r="I40" i="22"/>
  <c r="D331" i="22" s="1"/>
  <c r="I44" i="22"/>
  <c r="D335" i="22" s="1"/>
  <c r="F38" i="22"/>
  <c r="A38" i="22"/>
  <c r="G38" i="22"/>
  <c r="I38" i="22" l="1"/>
  <c r="D329" i="22" s="1"/>
  <c r="A31" i="26" l="1"/>
  <c r="F31" i="26"/>
  <c r="A32" i="26"/>
  <c r="A33" i="26"/>
  <c r="A34" i="26"/>
  <c r="A35" i="26"/>
  <c r="A36" i="26"/>
  <c r="A37" i="26"/>
  <c r="A39" i="26"/>
  <c r="A40" i="26"/>
  <c r="A41" i="26"/>
  <c r="A42" i="26"/>
  <c r="A45" i="26"/>
  <c r="H45" i="26"/>
  <c r="A46" i="26"/>
  <c r="H46" i="26"/>
  <c r="A47" i="26"/>
  <c r="H47" i="26"/>
  <c r="A48" i="26"/>
  <c r="A49" i="26"/>
  <c r="H49" i="26"/>
  <c r="A50" i="26"/>
  <c r="F50" i="26"/>
  <c r="A51" i="26"/>
  <c r="F51" i="26"/>
  <c r="A53" i="26"/>
  <c r="H53" i="26"/>
  <c r="A54" i="26"/>
  <c r="H54" i="26"/>
  <c r="A55" i="26"/>
  <c r="H55" i="26"/>
  <c r="G54" i="26"/>
  <c r="G45" i="26"/>
  <c r="G41" i="26"/>
  <c r="G31" i="26"/>
  <c r="I53" i="26" l="1"/>
  <c r="I61" i="28" s="1"/>
  <c r="D53" i="38" s="1"/>
  <c r="I46" i="26"/>
  <c r="I54" i="28" s="1"/>
  <c r="D46" i="38" s="1"/>
  <c r="I47" i="26"/>
  <c r="I55" i="28" s="1"/>
  <c r="D47" i="38" s="1"/>
  <c r="I49" i="26"/>
  <c r="I57" i="28" s="1"/>
  <c r="D49" i="38" s="1"/>
  <c r="G42" i="26"/>
  <c r="I54" i="26"/>
  <c r="I63" i="28" s="1"/>
  <c r="I45" i="26"/>
  <c r="I53" i="28" s="1"/>
  <c r="D45" i="38" s="1"/>
  <c r="I41" i="26"/>
  <c r="I44" i="28" s="1"/>
  <c r="I31" i="26"/>
  <c r="G50" i="26"/>
  <c r="G51" i="26"/>
  <c r="I51" i="26" s="1"/>
  <c r="H63" i="28"/>
  <c r="H53" i="28"/>
  <c r="H44" i="28"/>
  <c r="H33" i="28"/>
  <c r="I38" i="28"/>
  <c r="D29" i="38" s="1"/>
  <c r="I42" i="28"/>
  <c r="D33" i="38" s="1"/>
  <c r="F42" i="28"/>
  <c r="I41" i="28"/>
  <c r="D32" i="38" s="1"/>
  <c r="F41" i="28"/>
  <c r="I39" i="28"/>
  <c r="D30" i="38" s="1"/>
  <c r="I37" i="28"/>
  <c r="D28" i="38" s="1"/>
  <c r="I59" i="28"/>
  <c r="D51" i="38" s="1"/>
  <c r="D23" i="25"/>
  <c r="E8" i="25"/>
  <c r="G8" i="25" s="1"/>
  <c r="D6" i="25"/>
  <c r="D7" i="25" s="1"/>
  <c r="E7" i="25" s="1"/>
  <c r="G7" i="25" s="1"/>
  <c r="E5" i="25"/>
  <c r="G5" i="25" s="1"/>
  <c r="E4" i="25"/>
  <c r="G4" i="25" s="1"/>
  <c r="E3" i="25"/>
  <c r="G3" i="25" s="1"/>
  <c r="G10" i="25" s="1"/>
  <c r="E15" i="24"/>
  <c r="D26" i="24"/>
  <c r="E8" i="24"/>
  <c r="G8" i="24" s="1"/>
  <c r="D6" i="24"/>
  <c r="D7" i="24" s="1"/>
  <c r="E7" i="24" s="1"/>
  <c r="G7" i="24" s="1"/>
  <c r="E5" i="24"/>
  <c r="G5" i="24" s="1"/>
  <c r="E4" i="24"/>
  <c r="G4" i="24" s="1"/>
  <c r="E3" i="24"/>
  <c r="G3" i="24" s="1"/>
  <c r="G10" i="24" s="1"/>
  <c r="E19" i="25"/>
  <c r="E20" i="25"/>
  <c r="E23" i="25"/>
  <c r="E20" i="24"/>
  <c r="E21" i="24"/>
  <c r="E18" i="25"/>
  <c r="E24" i="24"/>
  <c r="E22" i="24"/>
  <c r="E22" i="25"/>
  <c r="E23" i="24"/>
  <c r="I45" i="28" l="1"/>
  <c r="D36" i="38" s="1"/>
  <c r="D35" i="38"/>
  <c r="I64" i="28"/>
  <c r="D56" i="38" s="1"/>
  <c r="D55" i="38"/>
  <c r="H59" i="28"/>
  <c r="H58" i="28"/>
  <c r="I50" i="26"/>
  <c r="G55" i="26"/>
  <c r="H67" i="28" s="1"/>
  <c r="H48" i="28"/>
  <c r="I42" i="26"/>
  <c r="I48" i="28" s="1"/>
  <c r="I58" i="28"/>
  <c r="D50" i="38" s="1"/>
  <c r="I33" i="28"/>
  <c r="D24" i="38" s="1"/>
  <c r="H121" i="28"/>
  <c r="H120" i="28"/>
  <c r="H118" i="28"/>
  <c r="H117" i="28"/>
  <c r="H116" i="28"/>
  <c r="H109" i="28"/>
  <c r="H108" i="28"/>
  <c r="H107" i="28"/>
  <c r="H106" i="28"/>
  <c r="H105" i="28"/>
  <c r="H104" i="28"/>
  <c r="I70" i="28"/>
  <c r="D62" i="38" s="1"/>
  <c r="H110" i="28"/>
  <c r="G11" i="24"/>
  <c r="E18" i="24" s="1"/>
  <c r="H102" i="28" s="1"/>
  <c r="I102" i="28" s="1"/>
  <c r="E16" i="25"/>
  <c r="H114" i="28" s="1"/>
  <c r="I114" i="28" s="1"/>
  <c r="E6" i="25"/>
  <c r="G6" i="25" s="1"/>
  <c r="G9" i="25" s="1"/>
  <c r="G11" i="25" s="1"/>
  <c r="E17" i="25" s="1"/>
  <c r="H115" i="28" s="1"/>
  <c r="I115" i="28" s="1"/>
  <c r="E17" i="24"/>
  <c r="H101" i="28" s="1"/>
  <c r="I101" i="28" s="1"/>
  <c r="E6" i="24"/>
  <c r="G6" i="24" s="1"/>
  <c r="G9" i="24" s="1"/>
  <c r="I46" i="28" l="1"/>
  <c r="D37" i="38" s="1"/>
  <c r="I47" i="28"/>
  <c r="D38" i="38" s="1"/>
  <c r="I66" i="28"/>
  <c r="D58" i="38" s="1"/>
  <c r="I49" i="28"/>
  <c r="D40" i="38" s="1"/>
  <c r="D39" i="38"/>
  <c r="I65" i="28"/>
  <c r="D57" i="38" s="1"/>
  <c r="I55" i="26"/>
  <c r="I67" i="28" s="1"/>
  <c r="I120" i="28"/>
  <c r="D107" i="38" s="1"/>
  <c r="I116" i="28"/>
  <c r="D103" i="38" s="1"/>
  <c r="I121" i="28"/>
  <c r="D108" i="38" s="1"/>
  <c r="I117" i="28"/>
  <c r="D104" i="38" s="1"/>
  <c r="I118" i="28"/>
  <c r="D105" i="38" s="1"/>
  <c r="I104" i="28"/>
  <c r="D92" i="38" s="1"/>
  <c r="I105" i="28"/>
  <c r="D93" i="38" s="1"/>
  <c r="I110" i="28"/>
  <c r="D98" i="38" s="1"/>
  <c r="I106" i="28"/>
  <c r="D94" i="38" s="1"/>
  <c r="I108" i="28"/>
  <c r="D96" i="38" s="1"/>
  <c r="I109" i="28"/>
  <c r="D97" i="38" s="1"/>
  <c r="I107" i="28"/>
  <c r="D95" i="38" s="1"/>
  <c r="I51" i="28"/>
  <c r="D42" i="38" s="1"/>
  <c r="E15" i="25"/>
  <c r="H113" i="28" s="1"/>
  <c r="I113" i="28" s="1"/>
  <c r="D102" i="38" s="1"/>
  <c r="G12" i="24"/>
  <c r="E19" i="24" s="1"/>
  <c r="H103" i="28" s="1"/>
  <c r="I103" i="28" s="1"/>
  <c r="I68" i="28" l="1"/>
  <c r="D60" i="38" s="1"/>
  <c r="D59" i="38"/>
  <c r="E16" i="24"/>
  <c r="H100" i="28" s="1"/>
  <c r="I100" i="28" s="1"/>
  <c r="D91" i="38" s="1"/>
  <c r="H56" i="23"/>
  <c r="F56" i="23"/>
  <c r="A56" i="23"/>
  <c r="H55" i="23"/>
  <c r="F55" i="23"/>
  <c r="A55" i="23"/>
  <c r="H54" i="23"/>
  <c r="F54" i="23"/>
  <c r="A54" i="23"/>
  <c r="H53" i="23"/>
  <c r="F53" i="23"/>
  <c r="A53" i="23"/>
  <c r="H52" i="23"/>
  <c r="F52" i="23"/>
  <c r="H51" i="23"/>
  <c r="F51" i="23"/>
  <c r="H50" i="23"/>
  <c r="F50" i="23"/>
  <c r="A49" i="23"/>
  <c r="H42" i="23"/>
  <c r="H43" i="23"/>
  <c r="H44" i="23"/>
  <c r="H45" i="23"/>
  <c r="H46" i="23"/>
  <c r="H47" i="23"/>
  <c r="H41" i="23"/>
  <c r="F47" i="23"/>
  <c r="A47" i="23"/>
  <c r="F46" i="23"/>
  <c r="A46" i="23"/>
  <c r="F45" i="23"/>
  <c r="A45" i="23"/>
  <c r="F44" i="23"/>
  <c r="A44" i="23"/>
  <c r="F43" i="23"/>
  <c r="F42" i="23"/>
  <c r="F41" i="23"/>
  <c r="A40" i="23"/>
  <c r="F38" i="23"/>
  <c r="F33" i="23"/>
  <c r="F36" i="23"/>
  <c r="F34" i="23"/>
  <c r="F35" i="23"/>
  <c r="F37" i="23"/>
  <c r="G51" i="23"/>
  <c r="G38" i="23"/>
  <c r="G54" i="23"/>
  <c r="G37" i="23"/>
  <c r="G36" i="23"/>
  <c r="G53" i="23"/>
  <c r="G35" i="23"/>
  <c r="G52" i="23"/>
  <c r="G47" i="23"/>
  <c r="G50" i="23"/>
  <c r="G33" i="23"/>
  <c r="G41" i="23"/>
  <c r="G43" i="23"/>
  <c r="G42" i="23"/>
  <c r="G56" i="23"/>
  <c r="G34" i="23"/>
  <c r="G55" i="23"/>
  <c r="G44" i="23"/>
  <c r="G46" i="23"/>
  <c r="G45" i="23"/>
  <c r="I51" i="23" l="1"/>
  <c r="I34" i="23"/>
  <c r="I38" i="23"/>
  <c r="I43" i="23"/>
  <c r="I45" i="23"/>
  <c r="I47" i="23"/>
  <c r="I53" i="23"/>
  <c r="I42" i="23"/>
  <c r="I54" i="23"/>
  <c r="I36" i="23"/>
  <c r="I50" i="23"/>
  <c r="I52" i="23"/>
  <c r="I56" i="23"/>
  <c r="I35" i="23"/>
  <c r="I37" i="23"/>
  <c r="I33" i="23"/>
  <c r="I41" i="23"/>
  <c r="I44" i="23"/>
  <c r="I46" i="23"/>
  <c r="I55" i="23"/>
  <c r="A35" i="23"/>
  <c r="D60" i="23" l="1"/>
  <c r="D63" i="23"/>
  <c r="H95" i="28" s="1"/>
  <c r="D61" i="23"/>
  <c r="H93" i="28" s="1"/>
  <c r="D62" i="23"/>
  <c r="H94" i="28" s="1"/>
  <c r="I49" i="23"/>
  <c r="A38" i="23"/>
  <c r="A37" i="23"/>
  <c r="A36" i="23"/>
  <c r="F32" i="23"/>
  <c r="A31" i="23"/>
  <c r="G32" i="23"/>
  <c r="I94" i="28" l="1"/>
  <c r="D87" i="38" s="1"/>
  <c r="I95" i="28"/>
  <c r="D88" i="38" s="1"/>
  <c r="I93" i="28"/>
  <c r="D86" i="38" s="1"/>
  <c r="H92" i="28"/>
  <c r="I32" i="23"/>
  <c r="I31" i="23" s="1"/>
  <c r="I92" i="28" l="1"/>
  <c r="D85" i="38" s="1"/>
  <c r="I40" i="23"/>
  <c r="D59" i="23" s="1"/>
  <c r="H90" i="28" l="1"/>
  <c r="I90" i="28" l="1"/>
  <c r="D83" i="38" s="1"/>
  <c r="I91" i="28" l="1"/>
  <c r="D84" i="38" s="1"/>
</calcChain>
</file>

<file path=xl/sharedStrings.xml><?xml version="1.0" encoding="utf-8"?>
<sst xmlns="http://schemas.openxmlformats.org/spreadsheetml/2006/main" count="3687" uniqueCount="606">
  <si>
    <t>m2</t>
  </si>
  <si>
    <t>I</t>
  </si>
  <si>
    <t>m</t>
  </si>
  <si>
    <t>STT</t>
  </si>
  <si>
    <t>100m2</t>
  </si>
  <si>
    <t>m3</t>
  </si>
  <si>
    <t>100m</t>
  </si>
  <si>
    <t>100m3</t>
  </si>
  <si>
    <t>KL toàn bộ</t>
  </si>
  <si>
    <t>Đơn vị</t>
  </si>
  <si>
    <t>Tấn</t>
  </si>
  <si>
    <t>Hạng mục công việc</t>
  </si>
  <si>
    <t>Ván khuôn tường</t>
  </si>
  <si>
    <t>ĐƠN VỊ</t>
  </si>
  <si>
    <t>Bụi</t>
  </si>
  <si>
    <t>Cọc</t>
  </si>
  <si>
    <t>Hố</t>
  </si>
  <si>
    <t>Tấm</t>
  </si>
  <si>
    <t>KO</t>
  </si>
  <si>
    <t>ĐỔI ĐƠN VỊ</t>
  </si>
  <si>
    <t>Hệ số</t>
  </si>
  <si>
    <t>Cái</t>
  </si>
  <si>
    <t>Hộp</t>
  </si>
  <si>
    <t>Thảm</t>
  </si>
  <si>
    <t>Đoạn</t>
  </si>
  <si>
    <t>Con</t>
  </si>
  <si>
    <t>Lần</t>
  </si>
  <si>
    <t>BẢNG KHỐI LƯỢNG TƯỜNG</t>
  </si>
  <si>
    <t>DỰ ÁN: XÂY DỰNG KÈ CHỐNG SẠT LỞ BỜ PHẢI RẠCH GIỒNG SÔNG KINH LỘ (ĐOẠN TỪ RẠCH TỔ 16 ĐẾN RẠCH GÒ ME)</t>
  </si>
  <si>
    <t>Địa điểm xây dựng: Huyện Nhà Bè, TP Hồ Chí Minh</t>
  </si>
  <si>
    <t>Diễn giải</t>
  </si>
  <si>
    <t>KL 1 bộ phận</t>
  </si>
  <si>
    <t>Số bộ phận</t>
  </si>
  <si>
    <t>BT lót móng đá 1x2 M150 dày 10cm</t>
  </si>
  <si>
    <t>11.8*4.55*0.1</t>
  </si>
  <si>
    <t>Trừ cọc BT chiếm chỗ</t>
  </si>
  <si>
    <t>BT bản đáy đá 1x2 M250 dày 50cm</t>
  </si>
  <si>
    <t>BT tường đá 1x2 M250 dày từ 30-50cm</t>
  </si>
  <si>
    <t>BT tường sườn đá 1x2 M250 dày 30cm</t>
  </si>
  <si>
    <t>Thép bản đáy D&lt;=10mm</t>
  </si>
  <si>
    <t>Thép bản đáy D&lt;=18mm</t>
  </si>
  <si>
    <t>Thép tường D&lt;=10mm</t>
  </si>
  <si>
    <t>Thép tường D&lt;=18mm</t>
  </si>
  <si>
    <t>Ván khuôn bê tông lót</t>
  </si>
  <si>
    <t>Ván khuôn bản đáy</t>
  </si>
  <si>
    <t>Mặt giáp đất</t>
  </si>
  <si>
    <t>Mặt giáp rạch</t>
  </si>
  <si>
    <t>Mặt hông</t>
  </si>
  <si>
    <t>Ván khuôn tường sườn</t>
  </si>
  <si>
    <t>Ống nhựa PVC Þ42mm</t>
  </si>
  <si>
    <t>11.8*4.35*0.5</t>
  </si>
  <si>
    <t>-11*0.35*0.35*0.1</t>
  </si>
  <si>
    <t>-11*0.35*0.35*0.05</t>
  </si>
  <si>
    <t>1.14*11.8</t>
  </si>
  <si>
    <t>D*R*C</t>
  </si>
  <si>
    <t>SL*D*R*C</t>
  </si>
  <si>
    <t>Stb*L</t>
  </si>
  <si>
    <t>Stb*H</t>
  </si>
  <si>
    <t>1.27*0.3</t>
  </si>
  <si>
    <t>Xem chi tiết bản vẽ</t>
  </si>
  <si>
    <t>Đoạn tường  ĐN-01 dài 11.8m</t>
  </si>
  <si>
    <t>Thép tường sườn D&lt;=18mm</t>
  </si>
  <si>
    <t>D*R</t>
  </si>
  <si>
    <t>11.8*0.5*2+4.35*0.5</t>
  </si>
  <si>
    <t>11.8*0.1*2+4.55*0.1</t>
  </si>
  <si>
    <t>11.8*2.8</t>
  </si>
  <si>
    <t>11.8*2.81</t>
  </si>
  <si>
    <t>S</t>
  </si>
  <si>
    <t>1.14</t>
  </si>
  <si>
    <t>S*2</t>
  </si>
  <si>
    <t>1.27*2</t>
  </si>
  <si>
    <t>L</t>
  </si>
  <si>
    <t>L*n</t>
  </si>
  <si>
    <t>0.5*12</t>
  </si>
  <si>
    <t>7.4</t>
  </si>
  <si>
    <t>II</t>
  </si>
  <si>
    <t>Dtb*R*C</t>
  </si>
  <si>
    <t>-6*0.35*0.35*0.1</t>
  </si>
  <si>
    <t>-6*0.35*0.35*0.05</t>
  </si>
  <si>
    <t>Dtb*R</t>
  </si>
  <si>
    <t>0.5*7</t>
  </si>
  <si>
    <t>III</t>
  </si>
  <si>
    <t>0.5*11</t>
  </si>
  <si>
    <t>IV</t>
  </si>
  <si>
    <t>V</t>
  </si>
  <si>
    <t>11.5*4.55*0.1</t>
  </si>
  <si>
    <t>VI</t>
  </si>
  <si>
    <t>Đoạn tường  ĐN-06 dài 11.619m</t>
  </si>
  <si>
    <t>11.69*4.55*0.1</t>
  </si>
  <si>
    <t>11.69*4.35*0.5</t>
  </si>
  <si>
    <t>1.14*11.619</t>
  </si>
  <si>
    <t>11.69*0.1*2+4.55*0.1</t>
  </si>
  <si>
    <t>11.69*0.5*2+4.35*0.5</t>
  </si>
  <si>
    <t>11.619*2.81</t>
  </si>
  <si>
    <t>11.619*2.8</t>
  </si>
  <si>
    <t>VII</t>
  </si>
  <si>
    <t>Đoạn tường  ĐN-07 dài 11.619m</t>
  </si>
  <si>
    <t>11.49*4.55*0.1</t>
  </si>
  <si>
    <t>11.49*4.35*0.5</t>
  </si>
  <si>
    <t>11.49*0.1*2+4.55*0.1</t>
  </si>
  <si>
    <t>11.49*0.5*2+4.35*0.5</t>
  </si>
  <si>
    <t>VIII</t>
  </si>
  <si>
    <t>Đoạn tường  ĐN-08 dài 11.66m</t>
  </si>
  <si>
    <t>11.327*4.55*0.1</t>
  </si>
  <si>
    <t>11.327*4.35*0.5</t>
  </si>
  <si>
    <t>1.14*11.66</t>
  </si>
  <si>
    <t>11.327*0.1*2+4.55*0.1</t>
  </si>
  <si>
    <t>11.327*0.5*2+4.35*0.5</t>
  </si>
  <si>
    <t xml:space="preserve">11.66*2.81 </t>
  </si>
  <si>
    <t>11.66*2.8</t>
  </si>
  <si>
    <t>IX</t>
  </si>
  <si>
    <t>Đoạn tường  ĐN-09 dài 10.477m</t>
  </si>
  <si>
    <t>7.87*4.31*0.1</t>
  </si>
  <si>
    <t>7.87*4.11*0.5</t>
  </si>
  <si>
    <t>1.14*10.477</t>
  </si>
  <si>
    <t>7.87*0.1*2+4.31*0.1</t>
  </si>
  <si>
    <t>7.87*0.5*2+4.11*0.5</t>
  </si>
  <si>
    <t xml:space="preserve">10.477*2.81 </t>
  </si>
  <si>
    <t>10.477*2.8</t>
  </si>
  <si>
    <t>X</t>
  </si>
  <si>
    <t>Đoạn tường khoá kè</t>
  </si>
  <si>
    <t>10.2*0.3</t>
  </si>
  <si>
    <t>Stb*2</t>
  </si>
  <si>
    <t>10.2*2</t>
  </si>
  <si>
    <t>Khớp nối PVC KN92</t>
  </si>
  <si>
    <t>Đoạn tường  ĐN-C1 dài 11.8m</t>
  </si>
  <si>
    <t xml:space="preserve">BT tường </t>
  </si>
  <si>
    <t>Trừ cống chiếm chỗ</t>
  </si>
  <si>
    <t>XI</t>
  </si>
  <si>
    <t>XII</t>
  </si>
  <si>
    <t>Đoạn tường  ĐN-C2 dài 11.8m</t>
  </si>
  <si>
    <t>Phần thành bên</t>
  </si>
  <si>
    <t>0.3*4.35*0.5</t>
  </si>
  <si>
    <t>1.4*11.8</t>
  </si>
  <si>
    <t>Ván khuôn thành bên</t>
  </si>
  <si>
    <t>-1.09*0.4</t>
  </si>
  <si>
    <t>-0.72*2</t>
  </si>
  <si>
    <t>-0.72*0.4</t>
  </si>
  <si>
    <t>4.35*0.5*2+0.5*0.3*2</t>
  </si>
  <si>
    <t>-1.09*2</t>
  </si>
  <si>
    <t>11.8*3.3</t>
  </si>
  <si>
    <t>11.8*3.42</t>
  </si>
  <si>
    <t>1.4</t>
  </si>
  <si>
    <t>XIII</t>
  </si>
  <si>
    <t>Đoạn tường  ĐN-C3 dài 11.8m</t>
  </si>
  <si>
    <t>BT tường đá 1x2 M250 dày từ 30cm</t>
  </si>
  <si>
    <t>TỔNG HỢP</t>
  </si>
  <si>
    <t>BẢNG KHỐI LƯỢNG LAN CAN</t>
  </si>
  <si>
    <t>Sản xuất thép trụ mặt ngoài</t>
  </si>
  <si>
    <t xml:space="preserve"> thép trụ mặt ngoài dày 5mm</t>
  </si>
  <si>
    <t xml:space="preserve"> thép trụ mặt trong dày 5mm</t>
  </si>
  <si>
    <t xml:space="preserve"> thép trụ chân trụ dày 10mm</t>
  </si>
  <si>
    <t>Lắp dựng lan can</t>
  </si>
  <si>
    <t>Bulong Þ16</t>
  </si>
  <si>
    <t>Ống thép tráng kẽm Þ76mm dày 3mm</t>
  </si>
  <si>
    <t>Ống thép tráng kẽm Þ60mm dày 2.5mm</t>
  </si>
  <si>
    <t>Bộ</t>
  </si>
  <si>
    <t>Trụ</t>
  </si>
  <si>
    <t>S*H*7850*5</t>
  </si>
  <si>
    <t>D*R*C*5</t>
  </si>
  <si>
    <t>1.65*0.16*0.005*7850*5</t>
  </si>
  <si>
    <t>0.087*0.005*7850*5</t>
  </si>
  <si>
    <t>0.16*0.16*0.01*5</t>
  </si>
  <si>
    <t>n*trụ</t>
  </si>
  <si>
    <t>4*5</t>
  </si>
  <si>
    <t>KHỐI LƯỢNG SÀN ĐẠO</t>
  </si>
  <si>
    <t>Số hiệu</t>
  </si>
  <si>
    <t>Hình dạng - kích thước</t>
  </si>
  <si>
    <t>Chiều dài thanh (mm)</t>
  </si>
  <si>
    <t>Số lượng (thanh)</t>
  </si>
  <si>
    <t>Tổng chiều dài (m)</t>
  </si>
  <si>
    <t>KL 1m
(kg)</t>
  </si>
  <si>
    <t>Tổng KL
(kg)</t>
  </si>
  <si>
    <t>H300x300</t>
  </si>
  <si>
    <t>I250x125</t>
  </si>
  <si>
    <t>I200x100</t>
  </si>
  <si>
    <t>CH180x21</t>
  </si>
  <si>
    <t>V100x100x10</t>
  </si>
  <si>
    <t>I150x75</t>
  </si>
  <si>
    <t>Tổng khối lượng 1 khung sàn đạo</t>
  </si>
  <si>
    <t xml:space="preserve">   - Khối lượng cọc đóng:</t>
  </si>
  <si>
    <t xml:space="preserve">   - Khối lượng khung sàn đạo</t>
  </si>
  <si>
    <t xml:space="preserve">   -Khối lượng khung định vị cọc</t>
  </si>
  <si>
    <t>TT</t>
  </si>
  <si>
    <t>K LƯỢNG</t>
  </si>
  <si>
    <t>lần</t>
  </si>
  <si>
    <t>HẠNG MỤC CÔNG VIỆC</t>
  </si>
  <si>
    <t>DIỄN GIẢI</t>
  </si>
  <si>
    <t>Số lượng cọc</t>
  </si>
  <si>
    <t>cọc</t>
  </si>
  <si>
    <t>Sản xuất khung sàn đạo</t>
  </si>
  <si>
    <t xml:space="preserve">Số lần lắp dựng sàn đạo  </t>
  </si>
  <si>
    <t xml:space="preserve">Khấu hao cọc đóng sàn đạo 
</t>
  </si>
  <si>
    <t xml:space="preserve">Khấu hao khung sàn đạo 
</t>
  </si>
  <si>
    <t>Đóng cọc thép ngập đất</t>
  </si>
  <si>
    <t>Đóng cọc thép không ngập đất</t>
  </si>
  <si>
    <t xml:space="preserve">   - Khối lượng cọc đóng</t>
  </si>
  <si>
    <t>Khấu hao khung định vị cọc</t>
  </si>
  <si>
    <t>Lắp dựng tháo dỡ khung sàn đạo</t>
  </si>
  <si>
    <t>I100x55</t>
  </si>
  <si>
    <t xml:space="preserve">   - Khối lượng khung sàn đạo:</t>
  </si>
  <si>
    <t>BẢNG KHỐI LƯỢNG COC</t>
  </si>
  <si>
    <t>Bê tông cọc đá 1x2 M300</t>
  </si>
  <si>
    <t>Ván khuôn cọc</t>
  </si>
  <si>
    <t>B*L</t>
  </si>
  <si>
    <t>Thép D&lt;=10 mm</t>
  </si>
  <si>
    <t>Thép D&lt;=18 mm</t>
  </si>
  <si>
    <t>Thép D&gt;18 mm</t>
  </si>
  <si>
    <t>Thép tấm nối cọc</t>
  </si>
  <si>
    <t>Đóng cọc thẳng</t>
  </si>
  <si>
    <t>Đóng cọc xiên</t>
  </si>
  <si>
    <t>Đập đầu cọc dưới nước</t>
  </si>
  <si>
    <t>S*L</t>
  </si>
  <si>
    <t>Bốc dỡ cọc</t>
  </si>
  <si>
    <t>Cao su cửa xả</t>
  </si>
  <si>
    <t>bộ</t>
  </si>
  <si>
    <t>Bu lông M16x150</t>
  </si>
  <si>
    <t>Bu lông M16x50</t>
  </si>
  <si>
    <t>tấn</t>
  </si>
  <si>
    <t>Sản xuất thép cửa van</t>
  </si>
  <si>
    <t>CỬA VAN D800</t>
  </si>
  <si>
    <t>Ống cống D800</t>
  </si>
  <si>
    <t>Thép hình</t>
  </si>
  <si>
    <t>Thép Þ&lt;=18mm</t>
  </si>
  <si>
    <t>Thép Þ&lt;=10mm</t>
  </si>
  <si>
    <t>(0.8*1*0.1)</t>
  </si>
  <si>
    <t>trừ khoảnh bê tông dưới ván khuôn dày 0.1m</t>
  </si>
  <si>
    <t>(0.9*1.1*0.1)</t>
  </si>
  <si>
    <t>trừ bê tông ván khuôn dày 0.1m</t>
  </si>
  <si>
    <t>(1.4*1.2*0.2)</t>
  </si>
  <si>
    <t>bê tông hố ga dày 0.2m</t>
  </si>
  <si>
    <t>Bê tông đá 1x2 M250</t>
  </si>
  <si>
    <t>2*(1+0.8)*0.1</t>
  </si>
  <si>
    <t>BxH</t>
  </si>
  <si>
    <t>Ván khuôn dưới tấm đan dày 0.1m</t>
  </si>
  <si>
    <t>2*(1.1+0.9)*0.1</t>
  </si>
  <si>
    <t>Ván khuôn tấm đan dày 0.1m</t>
  </si>
  <si>
    <t>4*1.4*0.2</t>
  </si>
  <si>
    <t>Ván khuôn hầm ngoài dày 0.2m</t>
  </si>
  <si>
    <t>Ván khuôn</t>
  </si>
  <si>
    <t>Đà hầm</t>
  </si>
  <si>
    <t>Ván khuôn tấm đan</t>
  </si>
  <si>
    <t>Thép bản</t>
  </si>
  <si>
    <t>0.9*1.1*0.1</t>
  </si>
  <si>
    <t>Nắp đan</t>
  </si>
  <si>
    <t>Cốt thép hố ga thoát nước D800</t>
  </si>
  <si>
    <t>bản mặt trên</t>
  </si>
  <si>
    <t>trừ cống chiếm chỗ</t>
  </si>
  <si>
    <t>ván khuôn bên trong</t>
  </si>
  <si>
    <t>ván khuôn bên ngoài</t>
  </si>
  <si>
    <t>trừ mương chiếm chỗ</t>
  </si>
  <si>
    <t>2 tường bên rộng 1.8m gồm mặt ngoài và mặt trong</t>
  </si>
  <si>
    <t>Ván khuôn bản tường</t>
  </si>
  <si>
    <t>-</t>
  </si>
  <si>
    <t>2*(1.8+1.4)*0.2</t>
  </si>
  <si>
    <t>Ván khuôn hố ga thoát nước D800</t>
  </si>
  <si>
    <t>góc vát</t>
  </si>
  <si>
    <t>tường giữa rộng 1.4m</t>
  </si>
  <si>
    <t>2 tường bên rộng 1.8m</t>
  </si>
  <si>
    <t>Bê tông tường đá 1x2 M250</t>
  </si>
  <si>
    <t>(1.8*1.4)*0.2</t>
  </si>
  <si>
    <t>Bê tông bản đáy đá 1x2 M250</t>
  </si>
  <si>
    <t>Bê tông hố ga thoát nước D800</t>
  </si>
  <si>
    <t>HỐ GA D800</t>
  </si>
  <si>
    <t>Bê tông lót đá 1x2 M150</t>
  </si>
  <si>
    <t>Bê tông M250</t>
  </si>
  <si>
    <t>BẢNG KHỐI LƯỢNG HỐ GA</t>
  </si>
  <si>
    <t>HM</t>
  </si>
  <si>
    <t>TƯỜNG BTCT</t>
  </si>
  <si>
    <t>Đóng cọc thép phần không ngập trong đất</t>
  </si>
  <si>
    <t>Đóng cọc thép phần ngập trong đất</t>
  </si>
  <si>
    <t>Khối lượng khấu hao khung sàn đạo</t>
  </si>
  <si>
    <t>Khối lượng khấu hao cọc đóng sàn đạo</t>
  </si>
  <si>
    <t>- Khối lượng khung sàn đạo</t>
  </si>
  <si>
    <t>- Khối lượng cọc đóng</t>
  </si>
  <si>
    <t>SÀN ĐẠO ĐÓNG CỌC THỬ</t>
  </si>
  <si>
    <t>Khấu hao khung sàn đạo</t>
  </si>
  <si>
    <t>Khấu hao cọc sàn đạo</t>
  </si>
  <si>
    <t>- Khối lượng khung định vị cọc</t>
  </si>
  <si>
    <t>SÀN ĐẠO ĐÓNG CỌC ĐẠI TRÀ</t>
  </si>
  <si>
    <t>Quét nhựa đường</t>
  </si>
  <si>
    <t>VỈA HÈ</t>
  </si>
  <si>
    <t>Thảm đá (5x2x0,3)m</t>
  </si>
  <si>
    <t>Phần gấp mép</t>
  </si>
  <si>
    <t>Trải vải địa kỹ thuật dưới nước (B=4m)</t>
  </si>
  <si>
    <t xml:space="preserve"> Phần gấp mép</t>
  </si>
  <si>
    <t>Trải vải địa kỹ thuật trên cạn (B=4m)</t>
  </si>
  <si>
    <t>Tầng lọc đá 4x6</t>
  </si>
  <si>
    <t>Đào đất mái kè</t>
  </si>
  <si>
    <t>BẢNG TỔNG HỢP KHỐI LƯỢNG</t>
  </si>
  <si>
    <t>Bảng tổng hợp khối lượng</t>
  </si>
  <si>
    <t>XIV</t>
  </si>
  <si>
    <t>Khối lượng</t>
  </si>
  <si>
    <t>Hệ số đơn vị</t>
  </si>
  <si>
    <t xml:space="preserve">Hạng mục: </t>
  </si>
  <si>
    <t>RÃNH THOÁT NƯỚC DỌC</t>
  </si>
  <si>
    <t>Bê tông rãnh thoát nước</t>
  </si>
  <si>
    <t xml:space="preserve">Bê tông lót đá 1x2 M150 </t>
  </si>
  <si>
    <t>Ván khuôn thân rãnh</t>
  </si>
  <si>
    <t>Cốt thép rãnh thoát nước</t>
  </si>
  <si>
    <t>THOÁT NƯỚC</t>
  </si>
  <si>
    <t>Ván khuôn bê tông rãnh thoát nước</t>
  </si>
  <si>
    <t>Tên cọc</t>
  </si>
  <si>
    <t>Khoảng dồn</t>
  </si>
  <si>
    <t>Diện tích</t>
  </si>
  <si>
    <t>DT trung bình</t>
  </si>
  <si>
    <t>Diện tích đá hộc 4x6</t>
  </si>
  <si>
    <t>Diện tích cát đắp</t>
  </si>
  <si>
    <t>Mối nối</t>
  </si>
  <si>
    <t>Đoạn tường  ĐN-02 dài 7.037m</t>
  </si>
  <si>
    <t>5.88*4.55*0.1</t>
  </si>
  <si>
    <t>5.88*4.35*0.5</t>
  </si>
  <si>
    <t>1.12*7.037</t>
  </si>
  <si>
    <t>5.88*0.1*2+4.55*0.1</t>
  </si>
  <si>
    <t>5.88*0.5*2+4.35*0.5</t>
  </si>
  <si>
    <t>7.037*2.81</t>
  </si>
  <si>
    <t>7.037*2.8</t>
  </si>
  <si>
    <t>1.12</t>
  </si>
  <si>
    <t>Đoạn tường  ĐN-03 dài 10.554m</t>
  </si>
  <si>
    <t>11.184*4.55*0.1</t>
  </si>
  <si>
    <t>11.184*4.35*0.5</t>
  </si>
  <si>
    <t>1.12*10.545</t>
  </si>
  <si>
    <t>10.554*0.1*2+4.55*0.1</t>
  </si>
  <si>
    <t>10.554*0.5*2+4.35*0.5</t>
  </si>
  <si>
    <t>10.554*2.81</t>
  </si>
  <si>
    <t>10.554*2.8</t>
  </si>
  <si>
    <t>Đoạn tường  ĐN-04 dài 10.176m</t>
  </si>
  <si>
    <t>10.434*4.55*0.1</t>
  </si>
  <si>
    <t>10.434*4.35*0.5</t>
  </si>
  <si>
    <t>10.434*0.1*2+4.55*0.1</t>
  </si>
  <si>
    <t>10.434*0.5*2+4.35*0.5</t>
  </si>
  <si>
    <t>10.176*2.81</t>
  </si>
  <si>
    <t>10.176*2.8</t>
  </si>
  <si>
    <t>Đoạn tường  ĐN-05 dài 11.286m</t>
  </si>
  <si>
    <t>11.531*4.35*0.5</t>
  </si>
  <si>
    <t>1.12*11.281</t>
  </si>
  <si>
    <t>11.531*0.1*2+4.55*0.1</t>
  </si>
  <si>
    <t>11.531*0.5*2+4.35*0.5</t>
  </si>
  <si>
    <t>11.286*2.81</t>
  </si>
  <si>
    <t>11.286*2.8</t>
  </si>
  <si>
    <t>Bảng khối lượng đào đắp</t>
  </si>
  <si>
    <t>Cấp phối đá dăm, K&gt;=0.98, dày 10cm</t>
  </si>
  <si>
    <t xml:space="preserve">BT lót móng </t>
  </si>
  <si>
    <t xml:space="preserve">Khớp nối PVC </t>
  </si>
  <si>
    <t xml:space="preserve">BT bản đáy </t>
  </si>
  <si>
    <t>Chi tiết bản vẽ</t>
  </si>
  <si>
    <t>GIA CỐ MÁI</t>
  </si>
  <si>
    <t>Đào bụi dừa nước</t>
  </si>
  <si>
    <t>LAN CAN</t>
  </si>
  <si>
    <t>Đá dăm 1x2 tầng lọc</t>
  </si>
  <si>
    <t>Tổ chức thi công</t>
  </si>
  <si>
    <t>Lớp cát dày 20cm</t>
  </si>
  <si>
    <t>BT đá 1x2 M150 dày 10cm</t>
  </si>
  <si>
    <t>Lắp dựng, tháo dỡ khung sàn đạo</t>
  </si>
  <si>
    <t>Thép bản nối cọc</t>
  </si>
  <si>
    <t>Thép hình nối cọc</t>
  </si>
  <si>
    <t>1.12*10.176</t>
  </si>
  <si>
    <t>D*R*H*7850*5</t>
  </si>
  <si>
    <t>S*L*7850</t>
  </si>
  <si>
    <t>0.0007*12*7850</t>
  </si>
  <si>
    <t>S*L*7850*2</t>
  </si>
  <si>
    <t>0.00045*12*7850*2</t>
  </si>
  <si>
    <t>L*H</t>
  </si>
  <si>
    <t>Đơn nguyên lan can loại 1 dài 12m</t>
  </si>
  <si>
    <t>Đắp cát đầm chặt K&gt;=0,9</t>
  </si>
  <si>
    <t>4*0.425*0.7</t>
  </si>
  <si>
    <t>Mạ kẽm trụ lan can</t>
  </si>
  <si>
    <t>DỰ ÁN: CHỐNG SẠT LỞ BỜ TRÁI THƯỢNG LƯU CẦU LONG KIỂNG.</t>
  </si>
  <si>
    <t>ĐỊA ĐIỂM: ẤP 1, XÃ PHƯỚC KIỂN, HUYỆN NHÀ BÈ, TP HỒ CHÍ MINH.</t>
  </si>
  <si>
    <t>KÈ</t>
  </si>
  <si>
    <t>ĐÀO ĐẤP</t>
  </si>
  <si>
    <t>BÃI ĐÚC CỌC</t>
  </si>
  <si>
    <t>Thép tấm 320x120x12</t>
  </si>
  <si>
    <t>Xà lan 400T phục vụ đào đất</t>
  </si>
  <si>
    <t>ca</t>
  </si>
  <si>
    <t>Diện tích đào đất</t>
  </si>
  <si>
    <t>Diện tích đá dăm</t>
  </si>
  <si>
    <t>Chiều dài vải ĐKT trên cạn</t>
  </si>
  <si>
    <t>Chiều dài vải ĐKT dưới nước</t>
  </si>
  <si>
    <t>Tuyến 1</t>
  </si>
  <si>
    <t>0+000</t>
  </si>
  <si>
    <t>Tuyến 2</t>
  </si>
  <si>
    <t>Cung cấp bao tải</t>
  </si>
  <si>
    <t>bao</t>
  </si>
  <si>
    <t>cái</t>
  </si>
  <si>
    <t>Bốc dỡ cống bê tông đk 800mm</t>
  </si>
  <si>
    <t>Lắp đặt ống bê tông bằng cần trục, đường kính 800mm</t>
  </si>
  <si>
    <t>6 cọc</t>
  </si>
  <si>
    <t xml:space="preserve">Vận chuyển cọc </t>
  </si>
  <si>
    <t>khối lượng</t>
  </si>
  <si>
    <t>13*500*0.5</t>
  </si>
  <si>
    <t>Số lượng</t>
  </si>
  <si>
    <t>0.316*43.27</t>
  </si>
  <si>
    <t>Vận chuyển đất đào 1Km</t>
  </si>
  <si>
    <t>3250+4327</t>
  </si>
  <si>
    <t>Vận chuyển đất đào 5Km</t>
  </si>
  <si>
    <t>105.20*((0.6*1*0.25)*0.7)</t>
  </si>
  <si>
    <t>Bảng khối lượng chi tiết</t>
  </si>
  <si>
    <t>D*R*H*785*2</t>
  </si>
  <si>
    <t>S*H*7850*2</t>
  </si>
  <si>
    <t>D*R*C*2</t>
  </si>
  <si>
    <t>0.49*0.08</t>
  </si>
  <si>
    <t>Bê tông thân rãnh đá 1x2 M250</t>
  </si>
  <si>
    <t>2*1.6*0.1</t>
  </si>
  <si>
    <t>2*2*1.8*0.2</t>
  </si>
  <si>
    <t>2*(0.6*0.66*0.2)</t>
  </si>
  <si>
    <t>2*1*2*0.2</t>
  </si>
  <si>
    <t>3.14*0.96^2/4*0.2</t>
  </si>
  <si>
    <t>2*(1.4+1.4+1+1)*0.5*0.2*0.2</t>
  </si>
  <si>
    <t>1.4*0.6*0.2</t>
  </si>
  <si>
    <t>2*1.8*2</t>
  </si>
  <si>
    <t>2*1.4*2</t>
  </si>
  <si>
    <t>4*0.6*0.66</t>
  </si>
  <si>
    <t>2 tường bên rộng 1.4m gồm mặt ngoài và mặt trong</t>
  </si>
  <si>
    <t>2*1*2</t>
  </si>
  <si>
    <t>2*(3.14*0.96^2)/4</t>
  </si>
  <si>
    <t>Bản mặt trên</t>
  </si>
  <si>
    <t>1.4*0.6</t>
  </si>
  <si>
    <t xml:space="preserve">Lắp đặt nắp đan </t>
  </si>
  <si>
    <t>6*0.705</t>
  </si>
  <si>
    <t>(1.17%*0.3+3.5%* 6)*6.768</t>
  </si>
  <si>
    <t>(2%*0.3+7%* 6)*0.705</t>
  </si>
  <si>
    <t>4*9*6</t>
  </si>
  <si>
    <t xml:space="preserve">Ván khuôn nắp đan </t>
  </si>
  <si>
    <t>Khối lượng đào đất</t>
  </si>
  <si>
    <t>Khối lượng cát đắp</t>
  </si>
  <si>
    <t>Khối lượng đá dăm</t>
  </si>
  <si>
    <t>Khối lượng đá hộc 4x6</t>
  </si>
  <si>
    <t>Khối lượng vải ĐKT trên cạn</t>
  </si>
  <si>
    <t>Khối lượng Gấp mép dưới nước</t>
  </si>
  <si>
    <t>Khối lượng vải ĐKT dưới nước</t>
  </si>
  <si>
    <t>Khối lượng Gấp mép trên cạn</t>
  </si>
  <si>
    <t xml:space="preserve">2 tường bên rộng 1,4m gồm mặt ngoài và mặt trong </t>
  </si>
  <si>
    <t>BẢNG KHỐI LƯỢNG MƯƠNG THOÁT NƯỚC</t>
  </si>
  <si>
    <t xml:space="preserve">Bê tông xi măng đá 1x2 M250 dày 10cm đổ tại chỗ </t>
  </si>
  <si>
    <t xml:space="preserve">Ván khuôn bê tông lót </t>
  </si>
  <si>
    <t>2*(1,6+2,0)*0,1</t>
  </si>
  <si>
    <t>BT bản đáy đá 1x2 M300 dày 50cm</t>
  </si>
  <si>
    <t>BT tường đá 1x2 M300 dày từ 30-50cm</t>
  </si>
  <si>
    <t>BT tường sườn đá 1x2 M300 dày 30cm</t>
  </si>
  <si>
    <t>Ống nhựa PVC Þ49mm</t>
  </si>
  <si>
    <t>BT bản đáy đá 1x2 M300 50cm</t>
  </si>
  <si>
    <t>1*15</t>
  </si>
  <si>
    <t>-0.72*0.5</t>
  </si>
  <si>
    <t>Ống nối PVC</t>
  </si>
  <si>
    <t>Vải địa kỹ thuật quấn quanh ống PVC</t>
  </si>
  <si>
    <t>Đoạn tường  ĐN-03 dài 11.8m</t>
  </si>
  <si>
    <t>Đoạn tường  ĐN-04 dài 11.8m</t>
  </si>
  <si>
    <t>Đoạn tường  ĐN-05 dài 11.8m</t>
  </si>
  <si>
    <t>Đoạn tường  ĐN-06 dài 11.8m</t>
  </si>
  <si>
    <t>Đoạn tường  ĐN-07 dài 11.8m</t>
  </si>
  <si>
    <t>11.8*4.5*0.1</t>
  </si>
  <si>
    <t>11.8*4.3*0.5</t>
  </si>
  <si>
    <t>1.126*11.8</t>
  </si>
  <si>
    <t>1.426*0.3</t>
  </si>
  <si>
    <t>11.8*0.1*2+4.5*0.1</t>
  </si>
  <si>
    <t>11.8*0.5*2+4.3*0.5</t>
  </si>
  <si>
    <t>1.426*2+2.55*0.3</t>
  </si>
  <si>
    <t>6.7</t>
  </si>
  <si>
    <t>1*12</t>
  </si>
  <si>
    <t>1*8</t>
  </si>
  <si>
    <t xml:space="preserve">Diện tích đất đắp </t>
  </si>
  <si>
    <t>Khối lượng đất đắp</t>
  </si>
  <si>
    <t>Đắp đất đầm chặt K&gt;=0,9</t>
  </si>
  <si>
    <t>Tổng</t>
  </si>
  <si>
    <t>*</t>
  </si>
  <si>
    <t>Đoạn tường  ĐN-02 dài 12,73m</t>
  </si>
  <si>
    <t>Đoạn tường  ĐN-08 dài 11.8m</t>
  </si>
  <si>
    <t>Đoạn tường  ĐN-09 dài 14.57m</t>
  </si>
  <si>
    <t>Đoạn tường  ĐN-10 dài 11.8m</t>
  </si>
  <si>
    <t>Đoạn tường  ĐN-11 dài 11.8m</t>
  </si>
  <si>
    <t>Đoạn tường  ĐN-12 dài 11.8m</t>
  </si>
  <si>
    <t>Đoạn tường  ĐN-13 dài 11.8m</t>
  </si>
  <si>
    <t>Đoạn tường  ĐN-14 dài 6.99m</t>
  </si>
  <si>
    <t>12.73*4.5*0.1</t>
  </si>
  <si>
    <t>-14*0.35*0.35*0.1</t>
  </si>
  <si>
    <t>1.126*12.73</t>
  </si>
  <si>
    <t>12.73*4.3*0.5</t>
  </si>
  <si>
    <t>12.73*0.1*2+4.5*0.1</t>
  </si>
  <si>
    <t>12.73*0.5*2+4.3*0.5</t>
  </si>
  <si>
    <t>12.73*2.81</t>
  </si>
  <si>
    <t>12.73*2.8</t>
  </si>
  <si>
    <t>1*13</t>
  </si>
  <si>
    <t>-12*0.35*0.35*0.1</t>
  </si>
  <si>
    <t>14.57*4.5*0.1</t>
  </si>
  <si>
    <t>14.57*4.3*0.5</t>
  </si>
  <si>
    <t>-15*0.35*0.35*0.1</t>
  </si>
  <si>
    <t>-15*0.35*0.35*0.05</t>
  </si>
  <si>
    <t>1.126*14.57</t>
  </si>
  <si>
    <t>14.57*0.1*2+4.5*0.1</t>
  </si>
  <si>
    <t>14.57*0.5*2+4.3*0.5</t>
  </si>
  <si>
    <t>14.57*2.81</t>
  </si>
  <si>
    <t>14.57*2.8</t>
  </si>
  <si>
    <t>-8*0.35*0.35*0.1</t>
  </si>
  <si>
    <t>6.99*4.5*0.1</t>
  </si>
  <si>
    <t>6.99*4.3*0.5</t>
  </si>
  <si>
    <t>1.126*6.99</t>
  </si>
  <si>
    <t>6.99*0.1*2+4.5*0.1</t>
  </si>
  <si>
    <t>6.99*0.5*2+4.3*0.5</t>
  </si>
  <si>
    <t>6.99*2.81</t>
  </si>
  <si>
    <t>6.99*2.8</t>
  </si>
  <si>
    <t>CỌC BTCT 35x35 M300,L=35,5m</t>
  </si>
  <si>
    <t>CỌC BTCT 35x35 CỌC THỬ M300, L=37,5m</t>
  </si>
  <si>
    <t>0.35^2*35.5+(0.35^2+0.15^2)/2*0.5</t>
  </si>
  <si>
    <t>0.35^2*37.5+(0.35^2+0.15^2)/2*0.5</t>
  </si>
  <si>
    <t>2*0.35*35.5+5*0.35*0.35+3*0.25*0.5</t>
  </si>
  <si>
    <t>2*0.35*41+5*0.35*0.35+3*0.25*0.5</t>
  </si>
  <si>
    <t>Thép Tấm 270x120x12</t>
  </si>
  <si>
    <t>Thép tấm tấm 270x120x12</t>
  </si>
  <si>
    <t>CỌC ĐẠI TRÀ BTCT 35x35, 35.5m</t>
  </si>
  <si>
    <t xml:space="preserve">CỌC THỬ BTCT 35x35,  37.5 m </t>
  </si>
  <si>
    <t>Cừ nhựa uPVC dài 4m</t>
  </si>
  <si>
    <t>KHỐI LƯỢNG KHUNG VÂY</t>
  </si>
  <si>
    <t>Chiều dài thanh (m)</t>
  </si>
  <si>
    <t>H300X300</t>
  </si>
  <si>
    <t>51.3+7.6*2</t>
  </si>
  <si>
    <t>Cừ larsen FSP-IV</t>
  </si>
  <si>
    <t xml:space="preserve">   - Khối lượng thanh giằng:</t>
  </si>
  <si>
    <t>Số lượng cừ larsen</t>
  </si>
  <si>
    <t>Cừ</t>
  </si>
  <si>
    <t>Số lần lắp dựng thanh giằng</t>
  </si>
  <si>
    <t>Sản xuất khung vây</t>
  </si>
  <si>
    <t xml:space="preserve">   - Khối lượng cừ đóng</t>
  </si>
  <si>
    <t xml:space="preserve">   - Khối lượng thanh giằng</t>
  </si>
  <si>
    <t>Khấu hao cọc, cừ đóng</t>
  </si>
  <si>
    <t>Khấu hao thanh giằng</t>
  </si>
  <si>
    <t>Lắp dựng tháo dỡ thanh giằng</t>
  </si>
  <si>
    <t>Đóng cừ larsen ngập đất</t>
  </si>
  <si>
    <t>Đóng larsen không ngập đất</t>
  </si>
  <si>
    <t>Nhổ cừ larsen</t>
  </si>
  <si>
    <t>Đóng cọc thép không  ngập đất</t>
  </si>
  <si>
    <t>170*9*10</t>
  </si>
  <si>
    <t>170*3*10</t>
  </si>
  <si>
    <t>20*2.4*10</t>
  </si>
  <si>
    <t>(1.17%*7+3.5%*10)*163.38</t>
  </si>
  <si>
    <t>(2%*7+7%*10)*3.454</t>
  </si>
  <si>
    <t>3.454*10</t>
  </si>
  <si>
    <t>170*12*10</t>
  </si>
  <si>
    <t>20*9.6*10</t>
  </si>
  <si>
    <t>KHUNG VÂY THI CÔNG</t>
  </si>
  <si>
    <t>Tổng khối lượng sản xuất khung vây</t>
  </si>
  <si>
    <t>- Khối lượng cừ, cọc đóng</t>
  </si>
  <si>
    <t>Khấu hao cừ, cọc larsen</t>
  </si>
  <si>
    <t>Đóng cừ larsen không ngập đất</t>
  </si>
  <si>
    <t>Xem bảng khối lượng chi tiết</t>
  </si>
  <si>
    <t>Đơn nguyên lan can loại 3 dài 10,9m</t>
  </si>
  <si>
    <t>0.0007*10.9*7850</t>
  </si>
  <si>
    <t>0.00045*10.9*7850*2</t>
  </si>
  <si>
    <t>10.9*0.8</t>
  </si>
  <si>
    <t>Đóng cừ nhựa uPVC</t>
  </si>
  <si>
    <t>XV</t>
  </si>
  <si>
    <t>Đoạn tường  ĐN-15 dài 14,60m</t>
  </si>
  <si>
    <t>1.126*14.60</t>
  </si>
  <si>
    <t>14.60*4.5*0.1</t>
  </si>
  <si>
    <t>14.60*4.3*0.5</t>
  </si>
  <si>
    <t>14.60*0.1*2+4.5*0.1</t>
  </si>
  <si>
    <t>14.60*0.5*2+4.3*0.5</t>
  </si>
  <si>
    <t>14.60*2.81</t>
  </si>
  <si>
    <t>14.60*2.8</t>
  </si>
  <si>
    <t>-17*0.35*0.35*0.1</t>
  </si>
  <si>
    <t>BT lót móng đá 4x6 M150 dày 10cm</t>
  </si>
  <si>
    <t>(1.17%*4 +3.5%* 49)*10.152</t>
  </si>
  <si>
    <t>(2%*4 +7%* 49)*4.794</t>
  </si>
  <si>
    <t>(2%*4+7%* 11*49)*0.218</t>
  </si>
  <si>
    <t>49*4.794+49*11*0.218</t>
  </si>
  <si>
    <t>6*9*49-2*9*48</t>
  </si>
  <si>
    <t xml:space="preserve">Nhổ cọc thép ngập đất </t>
  </si>
  <si>
    <t xml:space="preserve">Nhổ cọc thép không ngập đất </t>
  </si>
  <si>
    <t>Đơn nguyên lan can loại 2 dài 11,4m</t>
  </si>
  <si>
    <t>D*R*H*7850*2</t>
  </si>
  <si>
    <t>0.0007*11.4*7850</t>
  </si>
  <si>
    <t>0.00045*11.4*7850*2</t>
  </si>
  <si>
    <t>11.4*0.8</t>
  </si>
  <si>
    <t>37*12*0.8</t>
  </si>
  <si>
    <t>188 cọc</t>
  </si>
  <si>
    <t>353 cọc</t>
  </si>
  <si>
    <t xml:space="preserve">Nhổ cọc thép phần ngập đất </t>
  </si>
  <si>
    <t xml:space="preserve">Nhổ cọc thép phần không ngập đất </t>
  </si>
  <si>
    <t>0+031</t>
  </si>
  <si>
    <t>0+079</t>
  </si>
  <si>
    <t>0+111</t>
  </si>
  <si>
    <t>0+151</t>
  </si>
  <si>
    <t>0+191</t>
  </si>
  <si>
    <t>0+205</t>
  </si>
  <si>
    <t>0+226</t>
  </si>
  <si>
    <t>0+266</t>
  </si>
  <si>
    <t>0+306</t>
  </si>
  <si>
    <t>0+346</t>
  </si>
  <si>
    <t>0+386</t>
  </si>
  <si>
    <t>0+426</t>
  </si>
  <si>
    <t>0+466</t>
  </si>
  <si>
    <t>0+491</t>
  </si>
  <si>
    <t>Diện tích bù đất hố móng</t>
  </si>
  <si>
    <t xml:space="preserve">Khối lượng bù đất hố móng </t>
  </si>
  <si>
    <t>Bù đất hố móng</t>
  </si>
  <si>
    <t>470/2*1</t>
  </si>
  <si>
    <t>2.5*470*0.1</t>
  </si>
  <si>
    <t>Nối cọc bê tông cốt thép, kích thước cọc 35x35 (cm)</t>
  </si>
  <si>
    <t>Đập đầu cọc</t>
  </si>
  <si>
    <t>Vận chuyển đất, cát đổ đi bằng tàu kéo 360 CV, xà lan 400 tấn, vận chuyển 1 km đầu</t>
  </si>
  <si>
    <t>Vận chuyển đất, cát đổ đi bằng tàu kéo 360 CV, xà lan 400 tấn, vận chuyển 1 km tiếp theo 5km, cự ly &lt;=6 km</t>
  </si>
  <si>
    <t>Đào xúc phế thải bằng máy đào &lt;=0,8 m3 và máy ủi &lt;=110 CV</t>
  </si>
  <si>
    <t>Bốc xếp cọc BTCT bằng cơ giới, số lượng bốc xếp lên</t>
  </si>
  <si>
    <t>Bốc xếp cọc BTCT bằng cơ giới, số lượng bốc xếp xuống</t>
  </si>
  <si>
    <t>0.35*0.35*0.55</t>
  </si>
  <si>
    <t>KHỐI LƯỢNG CHI TIẾT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</si>
</sst>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.00\ _₫_-;\-* #,##0.00\ _₫_-;_-* &quot;-&quot;??\ _₫_-;_-@_-"/>
    <numFmt numFmtId="166" formatCode="#,##0.000"/>
    <numFmt numFmtId="167" formatCode="0\ &quot;đoạn&quot;"/>
    <numFmt numFmtId="168" formatCode="0\ &quot;vị trí&quot;"/>
    <numFmt numFmtId="169" formatCode="0\ &quot;sườn&quot;"/>
    <numFmt numFmtId="170" formatCode="#,##0.0000"/>
    <numFmt numFmtId="171" formatCode="0.0"/>
    <numFmt numFmtId="172" formatCode="0.000"/>
    <numFmt numFmtId="173" formatCode="0\ &quot;lần&quot;"/>
    <numFmt numFmtId="174" formatCode="0\ &quot;mối nối&quot;"/>
    <numFmt numFmtId="175" formatCode="0\ &quot;cọc&quot;"/>
  </numFmts>
  <fonts count="42">
    <font>
      <sz val="10"/>
      <name val="VNI-Helve-Condense"/>
    </font>
    <font>
      <sz val="10"/>
      <name val="VNI-Helve-Condense"/>
    </font>
    <font>
      <sz val="10"/>
      <name val="VNI-Helve-Condense"/>
    </font>
    <font>
      <sz val="12"/>
      <name val="VNI-Times"/>
    </font>
    <font>
      <sz val="1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sz val="14"/>
      <name val="Vni.helvel"/>
    </font>
    <font>
      <b/>
      <sz val="12"/>
      <name val="Vni.helvel"/>
    </font>
    <font>
      <sz val="11"/>
      <name val="Vni.helvel"/>
    </font>
    <font>
      <sz val="11"/>
      <color indexed="8"/>
      <name val="Vni.helvel"/>
    </font>
    <font>
      <b/>
      <sz val="11"/>
      <name val="Vni.helvel"/>
    </font>
    <font>
      <sz val="11"/>
      <color indexed="12"/>
      <name val="Vni.helvel"/>
    </font>
    <font>
      <sz val="11"/>
      <color indexed="10"/>
      <name val="Vni.helvel"/>
    </font>
    <font>
      <sz val="10"/>
      <name val="Vni.helvel"/>
    </font>
    <font>
      <sz val="9"/>
      <name val="Vni.helvel"/>
    </font>
    <font>
      <i/>
      <sz val="11"/>
      <name val="Vni.helvel"/>
    </font>
    <font>
      <b/>
      <sz val="11"/>
      <color indexed="8"/>
      <name val="Vni.helvel"/>
    </font>
    <font>
      <b/>
      <i/>
      <sz val="10"/>
      <name val="Times New Roman"/>
      <family val="1"/>
    </font>
    <font>
      <b/>
      <sz val="10"/>
      <name val="Times New Roman"/>
      <family val="1"/>
      <charset val="163"/>
    </font>
    <font>
      <i/>
      <sz val="10"/>
      <color rgb="FF00B050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  <charset val="163"/>
    </font>
    <font>
      <sz val="10"/>
      <color rgb="FFFFFF00"/>
      <name val="Times New Roman"/>
      <family val="1"/>
    </font>
    <font>
      <i/>
      <sz val="10"/>
      <name val="VNI-Helve-Condense"/>
    </font>
    <font>
      <i/>
      <sz val="10"/>
      <color rgb="FF0070C0"/>
      <name val="Times New Roman"/>
      <family val="1"/>
    </font>
    <font>
      <b/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i/>
      <sz val="11"/>
      <name val="Times New Roman"/>
      <family val="1"/>
    </font>
    <font>
      <b/>
      <sz val="10"/>
      <name val="VNI-Helve-Condense"/>
    </font>
    <font>
      <sz val="8"/>
      <name val="VNI-Helve-Condense"/>
    </font>
    <font>
      <b/>
      <sz val="20"/>
      <name val="Times New Roman"/>
      <family val="1"/>
    </font>
    <font>
      <b/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/>
    <xf numFmtId="0" fontId="4" fillId="0" borderId="0"/>
    <xf numFmtId="164" fontId="1" fillId="0" borderId="0" applyFont="0" applyFill="0" applyBorder="0" applyAlignment="0" applyProtection="0"/>
  </cellStyleXfs>
  <cellXfs count="383">
    <xf numFmtId="0" fontId="0" fillId="0" borderId="0" xfId="0"/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8" fillId="0" borderId="1" xfId="0" quotePrefix="1" applyFont="1" applyFill="1" applyBorder="1" applyAlignment="1">
      <alignment vertical="center"/>
    </xf>
    <xf numFmtId="0" fontId="6" fillId="0" borderId="1" xfId="0" quotePrefix="1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7" fillId="0" borderId="3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4" fontId="7" fillId="0" borderId="1" xfId="0" applyNumberFormat="1" applyFont="1" applyFill="1" applyBorder="1" applyAlignment="1">
      <alignment horizontal="righ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right" vertical="center"/>
    </xf>
    <xf numFmtId="167" fontId="6" fillId="0" borderId="1" xfId="0" applyNumberFormat="1" applyFont="1" applyFill="1" applyBorder="1" applyAlignment="1">
      <alignment horizontal="center" vertical="center"/>
    </xf>
    <xf numFmtId="169" fontId="6" fillId="0" borderId="1" xfId="0" applyNumberFormat="1" applyFont="1" applyFill="1" applyBorder="1" applyAlignment="1">
      <alignment horizontal="center" vertical="center"/>
    </xf>
    <xf numFmtId="166" fontId="6" fillId="0" borderId="1" xfId="0" applyNumberFormat="1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vertical="center"/>
    </xf>
    <xf numFmtId="0" fontId="6" fillId="0" borderId="1" xfId="0" applyNumberFormat="1" applyFont="1" applyFill="1" applyBorder="1" applyAlignment="1">
      <alignment horizontal="center" vertical="center"/>
    </xf>
    <xf numFmtId="1" fontId="6" fillId="0" borderId="1" xfId="0" quotePrefix="1" applyNumberFormat="1" applyFont="1" applyFill="1" applyBorder="1" applyAlignment="1">
      <alignment horizontal="center" vertical="center"/>
    </xf>
    <xf numFmtId="168" fontId="6" fillId="0" borderId="1" xfId="0" quotePrefix="1" applyNumberFormat="1" applyFont="1" applyFill="1" applyBorder="1" applyAlignment="1">
      <alignment horizontal="center" vertical="center"/>
    </xf>
    <xf numFmtId="0" fontId="6" fillId="0" borderId="1" xfId="0" quotePrefix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right" vertical="center"/>
    </xf>
    <xf numFmtId="3" fontId="6" fillId="0" borderId="1" xfId="0" applyNumberFormat="1" applyFont="1" applyFill="1" applyBorder="1" applyAlignment="1">
      <alignment vertical="center"/>
    </xf>
    <xf numFmtId="167" fontId="6" fillId="0" borderId="1" xfId="0" quotePrefix="1" applyNumberFormat="1" applyFont="1" applyFill="1" applyBorder="1" applyAlignment="1">
      <alignment horizontal="center" vertical="center"/>
    </xf>
    <xf numFmtId="166" fontId="6" fillId="0" borderId="0" xfId="0" applyNumberFormat="1" applyFont="1" applyFill="1" applyAlignment="1">
      <alignment vertical="center"/>
    </xf>
    <xf numFmtId="166" fontId="7" fillId="0" borderId="0" xfId="0" applyNumberFormat="1" applyFont="1" applyFill="1" applyAlignment="1">
      <alignment vertical="center"/>
    </xf>
    <xf numFmtId="166" fontId="7" fillId="0" borderId="3" xfId="0" applyNumberFormat="1" applyFont="1" applyFill="1" applyBorder="1" applyAlignment="1">
      <alignment horizontal="center" vertical="center"/>
    </xf>
    <xf numFmtId="170" fontId="7" fillId="0" borderId="1" xfId="0" applyNumberFormat="1" applyFont="1" applyFill="1" applyBorder="1" applyAlignment="1">
      <alignment vertical="center"/>
    </xf>
    <xf numFmtId="170" fontId="7" fillId="0" borderId="0" xfId="0" applyNumberFormat="1" applyFont="1" applyFill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12" fillId="0" borderId="1" xfId="0" applyNumberFormat="1" applyFont="1" applyFill="1" applyBorder="1" applyAlignment="1" applyProtection="1">
      <alignment horizontal="right" vertical="center" wrapText="1"/>
      <protection locked="0"/>
    </xf>
    <xf numFmtId="0" fontId="6" fillId="0" borderId="1" xfId="0" applyNumberFormat="1" applyFont="1" applyFill="1" applyBorder="1" applyAlignment="1" applyProtection="1">
      <alignment horizontal="right" vertical="center" wrapText="1"/>
      <protection locked="0"/>
    </xf>
    <xf numFmtId="0" fontId="14" fillId="2" borderId="0" xfId="5" applyFont="1" applyFill="1"/>
    <xf numFmtId="0" fontId="17" fillId="2" borderId="0" xfId="5" applyFont="1" applyFill="1" applyAlignment="1">
      <alignment horizontal="center" vertical="center" wrapText="1"/>
    </xf>
    <xf numFmtId="0" fontId="15" fillId="2" borderId="0" xfId="5" applyFont="1" applyFill="1" applyAlignment="1">
      <alignment horizontal="center" vertical="center"/>
    </xf>
    <xf numFmtId="0" fontId="15" fillId="2" borderId="0" xfId="5" applyFont="1" applyFill="1"/>
    <xf numFmtId="0" fontId="17" fillId="2" borderId="0" xfId="5" applyFont="1" applyFill="1"/>
    <xf numFmtId="0" fontId="15" fillId="2" borderId="0" xfId="5" applyFont="1" applyFill="1" applyAlignment="1">
      <alignment vertical="center"/>
    </xf>
    <xf numFmtId="0" fontId="20" fillId="2" borderId="0" xfId="5" applyFont="1" applyFill="1" applyAlignment="1">
      <alignment horizontal="center"/>
    </xf>
    <xf numFmtId="0" fontId="21" fillId="2" borderId="0" xfId="5" applyFont="1" applyFill="1"/>
    <xf numFmtId="0" fontId="20" fillId="2" borderId="0" xfId="5" applyFont="1" applyFill="1"/>
    <xf numFmtId="166" fontId="20" fillId="2" borderId="0" xfId="5" applyNumberFormat="1" applyFont="1" applyFill="1"/>
    <xf numFmtId="0" fontId="15" fillId="0" borderId="14" xfId="5" applyFont="1" applyFill="1" applyBorder="1" applyAlignment="1">
      <alignment horizontal="center" vertical="center" wrapText="1"/>
    </xf>
    <xf numFmtId="0" fontId="15" fillId="0" borderId="4" xfId="5" applyFont="1" applyFill="1" applyBorder="1" applyAlignment="1">
      <alignment horizontal="center" wrapText="1"/>
    </xf>
    <xf numFmtId="0" fontId="22" fillId="0" borderId="14" xfId="5" applyFont="1" applyFill="1" applyBorder="1" applyAlignment="1">
      <alignment horizontal="center" vertical="center" wrapText="1"/>
    </xf>
    <xf numFmtId="0" fontId="15" fillId="0" borderId="1" xfId="5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72" fontId="6" fillId="0" borderId="1" xfId="0" applyNumberFormat="1" applyFont="1" applyFill="1" applyBorder="1" applyAlignment="1">
      <alignment vertical="center"/>
    </xf>
    <xf numFmtId="172" fontId="7" fillId="0" borderId="1" xfId="0" applyNumberFormat="1" applyFont="1" applyFill="1" applyBorder="1" applyAlignment="1">
      <alignment vertical="center"/>
    </xf>
    <xf numFmtId="0" fontId="7" fillId="0" borderId="1" xfId="0" applyFont="1" applyFill="1" applyBorder="1"/>
    <xf numFmtId="0" fontId="6" fillId="0" borderId="1" xfId="0" applyFont="1" applyFill="1" applyBorder="1" applyAlignment="1">
      <alignment horizontal="left"/>
    </xf>
    <xf numFmtId="0" fontId="6" fillId="0" borderId="1" xfId="0" applyFont="1" applyFill="1" applyBorder="1"/>
    <xf numFmtId="0" fontId="7" fillId="0" borderId="1" xfId="0" applyFont="1" applyFill="1" applyBorder="1" applyAlignment="1">
      <alignment wrapText="1"/>
    </xf>
    <xf numFmtId="0" fontId="12" fillId="0" borderId="1" xfId="0" applyFont="1" applyFill="1" applyBorder="1" applyAlignment="1">
      <alignment horizontal="right"/>
    </xf>
    <xf numFmtId="0" fontId="6" fillId="3" borderId="0" xfId="0" applyFont="1" applyFill="1" applyAlignment="1">
      <alignment vertical="center"/>
    </xf>
    <xf numFmtId="0" fontId="7" fillId="0" borderId="1" xfId="0" quotePrefix="1" applyFont="1" applyFill="1" applyBorder="1" applyAlignment="1">
      <alignment horizontal="left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vertical="center"/>
    </xf>
    <xf numFmtId="0" fontId="6" fillId="0" borderId="1" xfId="0" quotePrefix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0" fillId="3" borderId="0" xfId="0" applyFill="1"/>
    <xf numFmtId="0" fontId="0" fillId="3" borderId="0" xfId="0" applyFont="1" applyFill="1"/>
    <xf numFmtId="0" fontId="28" fillId="0" borderId="1" xfId="0" applyFont="1" applyFill="1" applyBorder="1" applyAlignment="1">
      <alignment vertical="center"/>
    </xf>
    <xf numFmtId="4" fontId="28" fillId="0" borderId="1" xfId="0" applyNumberFormat="1" applyFont="1" applyFill="1" applyBorder="1" applyAlignment="1">
      <alignment vertical="center"/>
    </xf>
    <xf numFmtId="0" fontId="25" fillId="0" borderId="0" xfId="0" applyFont="1" applyFill="1" applyAlignment="1">
      <alignment vertical="center"/>
    </xf>
    <xf numFmtId="0" fontId="28" fillId="0" borderId="1" xfId="0" applyFont="1" applyFill="1" applyBorder="1" applyAlignment="1">
      <alignment horizontal="right" vertical="center"/>
    </xf>
    <xf numFmtId="172" fontId="25" fillId="0" borderId="1" xfId="0" applyNumberFormat="1" applyFont="1" applyFill="1" applyBorder="1" applyAlignment="1">
      <alignment vertical="center"/>
    </xf>
    <xf numFmtId="4" fontId="25" fillId="0" borderId="1" xfId="0" applyNumberFormat="1" applyFont="1" applyFill="1" applyBorder="1" applyAlignment="1">
      <alignment vertical="center"/>
    </xf>
    <xf numFmtId="172" fontId="28" fillId="0" borderId="1" xfId="0" applyNumberFormat="1" applyFont="1" applyFill="1" applyBorder="1" applyAlignment="1">
      <alignment vertical="center"/>
    </xf>
    <xf numFmtId="166" fontId="25" fillId="0" borderId="1" xfId="0" applyNumberFormat="1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169" fontId="6" fillId="3" borderId="1" xfId="0" quotePrefix="1" applyNumberFormat="1" applyFont="1" applyFill="1" applyBorder="1" applyAlignment="1">
      <alignment horizontal="center" vertical="center"/>
    </xf>
    <xf numFmtId="0" fontId="6" fillId="3" borderId="1" xfId="0" quotePrefix="1" applyFont="1" applyFill="1" applyBorder="1" applyAlignment="1">
      <alignment horizontal="center" vertical="center"/>
    </xf>
    <xf numFmtId="167" fontId="29" fillId="0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4" borderId="0" xfId="0" applyFont="1" applyFill="1"/>
    <xf numFmtId="170" fontId="7" fillId="4" borderId="1" xfId="0" applyNumberFormat="1" applyFont="1" applyFill="1" applyBorder="1" applyAlignment="1">
      <alignment vertical="center"/>
    </xf>
    <xf numFmtId="172" fontId="6" fillId="4" borderId="1" xfId="0" applyNumberFormat="1" applyFont="1" applyFill="1" applyBorder="1" applyAlignment="1">
      <alignment vertical="center"/>
    </xf>
    <xf numFmtId="0" fontId="6" fillId="4" borderId="1" xfId="0" applyNumberFormat="1" applyFont="1" applyFill="1" applyBorder="1" applyAlignment="1">
      <alignment horizontal="right" vertical="center"/>
    </xf>
    <xf numFmtId="3" fontId="6" fillId="4" borderId="1" xfId="0" applyNumberFormat="1" applyFont="1" applyFill="1" applyBorder="1" applyAlignment="1">
      <alignment vertical="center"/>
    </xf>
    <xf numFmtId="0" fontId="6" fillId="4" borderId="0" xfId="0" applyFont="1" applyFill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vertical="center"/>
    </xf>
    <xf numFmtId="0" fontId="7" fillId="0" borderId="0" xfId="0" applyFont="1" applyFill="1" applyBorder="1"/>
    <xf numFmtId="170" fontId="7" fillId="0" borderId="3" xfId="0" applyNumberFormat="1" applyFont="1" applyFill="1" applyBorder="1" applyAlignment="1">
      <alignment vertical="center"/>
    </xf>
    <xf numFmtId="0" fontId="6" fillId="0" borderId="3" xfId="0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vertical="center"/>
    </xf>
    <xf numFmtId="0" fontId="6" fillId="4" borderId="1" xfId="0" quotePrefix="1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2" fontId="6" fillId="0" borderId="1" xfId="0" applyNumberFormat="1" applyFont="1" applyFill="1" applyBorder="1" applyAlignment="1">
      <alignment horizontal="right" vertical="center"/>
    </xf>
    <xf numFmtId="172" fontId="0" fillId="3" borderId="0" xfId="0" applyNumberFormat="1" applyFill="1"/>
    <xf numFmtId="0" fontId="30" fillId="3" borderId="0" xfId="0" applyFont="1" applyFill="1"/>
    <xf numFmtId="0" fontId="0" fillId="4" borderId="0" xfId="0" applyFill="1"/>
    <xf numFmtId="0" fontId="0" fillId="0" borderId="1" xfId="0" applyFont="1" applyFill="1" applyBorder="1"/>
    <xf numFmtId="0" fontId="6" fillId="0" borderId="18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0" fillId="0" borderId="0" xfId="0" applyFont="1" applyFill="1"/>
    <xf numFmtId="0" fontId="6" fillId="0" borderId="0" xfId="0" applyFont="1" applyFill="1"/>
    <xf numFmtId="0" fontId="0" fillId="0" borderId="22" xfId="0" applyFont="1" applyFill="1" applyBorder="1"/>
    <xf numFmtId="0" fontId="6" fillId="0" borderId="1" xfId="0" applyFont="1" applyFill="1" applyBorder="1" applyAlignment="1">
      <alignment horizontal="left" vertical="center"/>
    </xf>
    <xf numFmtId="0" fontId="7" fillId="0" borderId="18" xfId="0" applyFont="1" applyFill="1" applyBorder="1" applyAlignment="1">
      <alignment horizontal="center" vertical="center"/>
    </xf>
    <xf numFmtId="172" fontId="6" fillId="0" borderId="1" xfId="0" applyNumberFormat="1" applyFont="1" applyFill="1" applyBorder="1" applyAlignment="1">
      <alignment horizontal="right" vertical="center"/>
    </xf>
    <xf numFmtId="172" fontId="6" fillId="0" borderId="1" xfId="0" applyNumberFormat="1" applyFont="1" applyFill="1" applyBorder="1" applyAlignment="1">
      <alignment horizontal="center" vertical="center"/>
    </xf>
    <xf numFmtId="166" fontId="7" fillId="0" borderId="1" xfId="0" applyNumberFormat="1" applyFont="1" applyFill="1" applyBorder="1" applyAlignment="1">
      <alignment horizontal="center" vertical="center"/>
    </xf>
    <xf numFmtId="172" fontId="7" fillId="0" borderId="1" xfId="0" applyNumberFormat="1" applyFont="1" applyFill="1" applyBorder="1" applyAlignment="1">
      <alignment horizontal="right" vertical="center"/>
    </xf>
    <xf numFmtId="0" fontId="0" fillId="0" borderId="0" xfId="0" applyFill="1"/>
    <xf numFmtId="175" fontId="7" fillId="0" borderId="1" xfId="0" applyNumberFormat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175" fontId="6" fillId="0" borderId="1" xfId="0" applyNumberFormat="1" applyFont="1" applyFill="1" applyBorder="1" applyAlignment="1">
      <alignment horizontal="center" vertical="center"/>
    </xf>
    <xf numFmtId="174" fontId="6" fillId="0" borderId="1" xfId="0" applyNumberFormat="1" applyFont="1" applyFill="1" applyBorder="1" applyAlignment="1">
      <alignment horizontal="center" vertical="center"/>
    </xf>
    <xf numFmtId="175" fontId="6" fillId="0" borderId="4" xfId="0" applyNumberFormat="1" applyFont="1" applyFill="1" applyBorder="1" applyAlignment="1">
      <alignment vertical="center"/>
    </xf>
    <xf numFmtId="175" fontId="6" fillId="0" borderId="4" xfId="0" applyNumberFormat="1" applyFont="1" applyFill="1" applyBorder="1" applyAlignment="1">
      <alignment horizontal="center" vertical="center"/>
    </xf>
    <xf numFmtId="170" fontId="6" fillId="0" borderId="1" xfId="0" applyNumberFormat="1" applyFont="1" applyFill="1" applyBorder="1" applyAlignment="1">
      <alignment horizontal="center" vertical="center"/>
    </xf>
    <xf numFmtId="3" fontId="7" fillId="0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0" fontId="28" fillId="0" borderId="1" xfId="0" quotePrefix="1" applyFont="1" applyFill="1" applyBorder="1" applyAlignment="1">
      <alignment vertical="center"/>
    </xf>
    <xf numFmtId="0" fontId="28" fillId="0" borderId="1" xfId="0" quotePrefix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172" fontId="6" fillId="0" borderId="4" xfId="0" applyNumberFormat="1" applyFont="1" applyFill="1" applyBorder="1" applyAlignment="1">
      <alignment horizontal="right" vertical="center"/>
    </xf>
    <xf numFmtId="0" fontId="6" fillId="0" borderId="0" xfId="0" applyFont="1" applyFill="1" applyBorder="1"/>
    <xf numFmtId="0" fontId="26" fillId="0" borderId="1" xfId="0" quotePrefix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" xfId="0" quotePrefix="1" applyFont="1" applyFill="1" applyBorder="1" applyAlignment="1">
      <alignment vertical="center"/>
    </xf>
    <xf numFmtId="0" fontId="6" fillId="0" borderId="1" xfId="0" applyFont="1" applyFill="1" applyBorder="1" applyAlignment="1">
      <alignment vertical="center" wrapText="1"/>
    </xf>
    <xf numFmtId="173" fontId="6" fillId="0" borderId="1" xfId="0" applyNumberFormat="1" applyFont="1" applyFill="1" applyBorder="1" applyAlignment="1">
      <alignment horizontal="center" vertical="center"/>
    </xf>
    <xf numFmtId="4" fontId="7" fillId="0" borderId="13" xfId="0" applyNumberFormat="1" applyFont="1" applyFill="1" applyBorder="1" applyAlignment="1">
      <alignment horizontal="right" vertical="center"/>
    </xf>
    <xf numFmtId="172" fontId="6" fillId="0" borderId="13" xfId="0" applyNumberFormat="1" applyFont="1" applyFill="1" applyBorder="1" applyAlignment="1">
      <alignment horizontal="right" vertical="center"/>
    </xf>
    <xf numFmtId="0" fontId="6" fillId="0" borderId="1" xfId="0" applyFont="1" applyFill="1" applyBorder="1" applyAlignment="1">
      <alignment horizontal="center"/>
    </xf>
    <xf numFmtId="0" fontId="12" fillId="0" borderId="18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right"/>
    </xf>
    <xf numFmtId="4" fontId="24" fillId="0" borderId="1" xfId="0" applyNumberFormat="1" applyFont="1" applyFill="1" applyBorder="1" applyAlignment="1">
      <alignment horizontal="right" vertical="center"/>
    </xf>
    <xf numFmtId="0" fontId="7" fillId="0" borderId="1" xfId="0" applyFont="1" applyFill="1" applyBorder="1" applyAlignment="1">
      <alignment horizontal="left"/>
    </xf>
    <xf numFmtId="172" fontId="6" fillId="0" borderId="7" xfId="0" applyNumberFormat="1" applyFont="1" applyFill="1" applyBorder="1" applyAlignment="1">
      <alignment horizontal="center" vertical="center"/>
    </xf>
    <xf numFmtId="172" fontId="7" fillId="0" borderId="19" xfId="0" applyNumberFormat="1" applyFont="1" applyFill="1" applyBorder="1" applyAlignment="1">
      <alignment vertical="center"/>
    </xf>
    <xf numFmtId="172" fontId="6" fillId="0" borderId="4" xfId="0" applyNumberFormat="1" applyFont="1" applyFill="1" applyBorder="1" applyAlignment="1">
      <alignment horizontal="center" vertical="center"/>
    </xf>
    <xf numFmtId="172" fontId="7" fillId="0" borderId="4" xfId="0" applyNumberFormat="1" applyFont="1" applyFill="1" applyBorder="1" applyAlignment="1">
      <alignment horizontal="right" vertical="center"/>
    </xf>
    <xf numFmtId="172" fontId="7" fillId="0" borderId="19" xfId="0" applyNumberFormat="1" applyFont="1" applyFill="1" applyBorder="1" applyAlignment="1">
      <alignment horizontal="right" vertical="center"/>
    </xf>
    <xf numFmtId="172" fontId="12" fillId="0" borderId="4" xfId="2" applyNumberFormat="1" applyFont="1" applyFill="1" applyBorder="1" applyAlignment="1">
      <alignment horizontal="right" vertical="center"/>
    </xf>
    <xf numFmtId="172" fontId="6" fillId="0" borderId="4" xfId="6" applyNumberFormat="1" applyFont="1" applyFill="1" applyBorder="1" applyAlignment="1">
      <alignment horizontal="right" vertical="center"/>
    </xf>
    <xf numFmtId="172" fontId="6" fillId="0" borderId="4" xfId="2" applyNumberFormat="1" applyFont="1" applyFill="1" applyBorder="1" applyAlignment="1">
      <alignment horizontal="right" vertical="center"/>
    </xf>
    <xf numFmtId="172" fontId="26" fillId="0" borderId="1" xfId="0" quotePrefix="1" applyNumberFormat="1" applyFont="1" applyFill="1" applyBorder="1" applyAlignment="1">
      <alignment horizontal="right"/>
    </xf>
    <xf numFmtId="172" fontId="6" fillId="0" borderId="14" xfId="0" applyNumberFormat="1" applyFont="1" applyFill="1" applyBorder="1" applyAlignment="1">
      <alignment horizontal="right" vertical="center"/>
    </xf>
    <xf numFmtId="172" fontId="7" fillId="0" borderId="23" xfId="0" applyNumberFormat="1" applyFont="1" applyFill="1" applyBorder="1" applyAlignment="1">
      <alignment horizontal="right" vertical="center"/>
    </xf>
    <xf numFmtId="0" fontId="26" fillId="0" borderId="1" xfId="0" quotePrefix="1" applyFont="1" applyFill="1" applyBorder="1" applyAlignment="1">
      <alignment horizontal="left"/>
    </xf>
    <xf numFmtId="0" fontId="26" fillId="0" borderId="1" xfId="0" applyFont="1" applyFill="1" applyBorder="1" applyAlignment="1">
      <alignment horizontal="left"/>
    </xf>
    <xf numFmtId="0" fontId="12" fillId="0" borderId="0" xfId="0" applyFont="1" applyFill="1"/>
    <xf numFmtId="0" fontId="30" fillId="0" borderId="0" xfId="0" applyFont="1" applyFill="1"/>
    <xf numFmtId="0" fontId="6" fillId="0" borderId="1" xfId="0" quotePrefix="1" applyFont="1" applyFill="1" applyBorder="1" applyAlignment="1">
      <alignment horizontal="left"/>
    </xf>
    <xf numFmtId="0" fontId="12" fillId="0" borderId="1" xfId="0" quotePrefix="1" applyFon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31" fillId="0" borderId="1" xfId="0" applyFont="1" applyFill="1" applyBorder="1" applyAlignment="1">
      <alignment horizontal="right"/>
    </xf>
    <xf numFmtId="0" fontId="26" fillId="0" borderId="1" xfId="0" applyFont="1" applyFill="1" applyBorder="1" applyAlignment="1">
      <alignment horizontal="center" vertical="center"/>
    </xf>
    <xf numFmtId="172" fontId="26" fillId="0" borderId="1" xfId="0" applyNumberFormat="1" applyFont="1" applyFill="1" applyBorder="1" applyAlignment="1">
      <alignment vertical="center"/>
    </xf>
    <xf numFmtId="0" fontId="7" fillId="0" borderId="1" xfId="0" applyNumberFormat="1" applyFont="1" applyFill="1" applyBorder="1" applyAlignment="1" applyProtection="1">
      <alignment horizontal="left" vertical="center" wrapText="1"/>
      <protection locked="0"/>
    </xf>
    <xf numFmtId="0" fontId="7" fillId="0" borderId="1" xfId="0" applyFont="1" applyFill="1" applyBorder="1" applyAlignment="1">
      <alignment horizontal="center" vertical="center"/>
    </xf>
    <xf numFmtId="172" fontId="7" fillId="0" borderId="0" xfId="0" applyNumberFormat="1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 wrapText="1"/>
    </xf>
    <xf numFmtId="0" fontId="6" fillId="0" borderId="16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horizontal="center" vertical="center" wrapText="1"/>
    </xf>
    <xf numFmtId="172" fontId="7" fillId="0" borderId="16" xfId="0" applyNumberFormat="1" applyFont="1" applyFill="1" applyBorder="1" applyAlignment="1">
      <alignment horizontal="center" vertical="center" wrapText="1"/>
    </xf>
    <xf numFmtId="172" fontId="7" fillId="0" borderId="21" xfId="0" applyNumberFormat="1" applyFont="1" applyFill="1" applyBorder="1" applyAlignment="1">
      <alignment horizontal="center" vertical="center" wrapText="1"/>
    </xf>
    <xf numFmtId="172" fontId="7" fillId="0" borderId="17" xfId="0" applyNumberFormat="1" applyFont="1" applyFill="1" applyBorder="1" applyAlignment="1">
      <alignment horizontal="center" vertical="center" wrapText="1"/>
    </xf>
    <xf numFmtId="0" fontId="7" fillId="0" borderId="18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vertical="center" wrapText="1"/>
    </xf>
    <xf numFmtId="172" fontId="7" fillId="0" borderId="1" xfId="0" applyNumberFormat="1" applyFont="1" applyFill="1" applyBorder="1" applyAlignment="1">
      <alignment horizontal="center" vertical="center" wrapText="1"/>
    </xf>
    <xf numFmtId="172" fontId="7" fillId="0" borderId="4" xfId="0" applyNumberFormat="1" applyFont="1" applyFill="1" applyBorder="1" applyAlignment="1">
      <alignment horizontal="center" vertical="center" wrapText="1"/>
    </xf>
    <xf numFmtId="172" fontId="7" fillId="0" borderId="19" xfId="0" applyNumberFormat="1" applyFont="1" applyFill="1" applyBorder="1" applyAlignment="1">
      <alignment horizontal="center" vertical="center" wrapText="1"/>
    </xf>
    <xf numFmtId="172" fontId="7" fillId="0" borderId="4" xfId="0" applyNumberFormat="1" applyFont="1" applyFill="1" applyBorder="1" applyAlignment="1">
      <alignment vertical="center"/>
    </xf>
    <xf numFmtId="0" fontId="15" fillId="0" borderId="1" xfId="5" applyFont="1" applyFill="1" applyBorder="1" applyAlignment="1">
      <alignment horizontal="center" vertical="center" wrapText="1"/>
    </xf>
    <xf numFmtId="0" fontId="17" fillId="0" borderId="1" xfId="5" applyFont="1" applyFill="1" applyBorder="1" applyAlignment="1">
      <alignment horizontal="center" vertical="center" wrapText="1"/>
    </xf>
    <xf numFmtId="166" fontId="17" fillId="0" borderId="1" xfId="5" applyNumberFormat="1" applyFont="1" applyFill="1" applyBorder="1" applyAlignment="1">
      <alignment horizontal="center" vertical="center" wrapText="1"/>
    </xf>
    <xf numFmtId="0" fontId="18" fillId="0" borderId="7" xfId="5" applyFont="1" applyFill="1" applyBorder="1" applyAlignment="1">
      <alignment horizontal="center" vertical="center"/>
    </xf>
    <xf numFmtId="0" fontId="18" fillId="0" borderId="1" xfId="5" applyFont="1" applyFill="1" applyBorder="1" applyAlignment="1">
      <alignment horizontal="center" vertical="center"/>
    </xf>
    <xf numFmtId="171" fontId="15" fillId="0" borderId="1" xfId="5" applyNumberFormat="1" applyFont="1" applyFill="1" applyBorder="1" applyAlignment="1">
      <alignment horizontal="center" vertical="center"/>
    </xf>
    <xf numFmtId="166" fontId="15" fillId="0" borderId="1" xfId="5" applyNumberFormat="1" applyFont="1" applyFill="1" applyBorder="1" applyAlignment="1">
      <alignment horizontal="right" vertical="center"/>
    </xf>
    <xf numFmtId="166" fontId="17" fillId="0" borderId="3" xfId="5" applyNumberFormat="1" applyFont="1" applyFill="1" applyBorder="1" applyAlignment="1">
      <alignment horizontal="right"/>
    </xf>
    <xf numFmtId="0" fontId="15" fillId="0" borderId="0" xfId="5" applyFont="1" applyFill="1" applyBorder="1" applyAlignment="1"/>
    <xf numFmtId="0" fontId="17" fillId="0" borderId="0" xfId="5" applyFont="1" applyFill="1" applyBorder="1" applyAlignment="1">
      <alignment horizontal="center"/>
    </xf>
    <xf numFmtId="0" fontId="17" fillId="0" borderId="11" xfId="5" applyFont="1" applyFill="1" applyBorder="1" applyAlignment="1">
      <alignment horizontal="center"/>
    </xf>
    <xf numFmtId="166" fontId="15" fillId="0" borderId="11" xfId="5" applyNumberFormat="1" applyFont="1" applyFill="1" applyBorder="1" applyAlignment="1">
      <alignment horizontal="right"/>
    </xf>
    <xf numFmtId="0" fontId="17" fillId="0" borderId="13" xfId="5" applyFont="1" applyFill="1" applyBorder="1" applyAlignment="1">
      <alignment horizontal="center" vertical="center" wrapText="1"/>
    </xf>
    <xf numFmtId="166" fontId="17" fillId="0" borderId="13" xfId="5" applyNumberFormat="1" applyFont="1" applyFill="1" applyBorder="1" applyAlignment="1">
      <alignment horizontal="center" vertical="center" wrapText="1"/>
    </xf>
    <xf numFmtId="0" fontId="17" fillId="0" borderId="0" xfId="5" applyFont="1" applyFill="1"/>
    <xf numFmtId="0" fontId="15" fillId="0" borderId="1" xfId="5" applyFont="1" applyFill="1" applyBorder="1" applyAlignment="1">
      <alignment wrapText="1"/>
    </xf>
    <xf numFmtId="0" fontId="15" fillId="0" borderId="13" xfId="5" applyFont="1" applyFill="1" applyBorder="1" applyAlignment="1">
      <alignment horizontal="center" vertical="center" wrapText="1"/>
    </xf>
    <xf numFmtId="166" fontId="15" fillId="0" borderId="13" xfId="5" applyNumberFormat="1" applyFont="1" applyFill="1" applyBorder="1" applyAlignment="1">
      <alignment horizontal="right" wrapText="1"/>
    </xf>
    <xf numFmtId="0" fontId="15" fillId="0" borderId="0" xfId="5" applyFont="1" applyFill="1"/>
    <xf numFmtId="166" fontId="15" fillId="0" borderId="1" xfId="5" applyNumberFormat="1" applyFont="1" applyFill="1" applyBorder="1" applyAlignment="1">
      <alignment horizontal="right" vertical="center" wrapText="1"/>
    </xf>
    <xf numFmtId="0" fontId="15" fillId="0" borderId="0" xfId="5" applyFont="1" applyFill="1" applyAlignment="1">
      <alignment vertical="center"/>
    </xf>
    <xf numFmtId="166" fontId="15" fillId="0" borderId="1" xfId="5" applyNumberFormat="1" applyFont="1" applyFill="1" applyBorder="1" applyAlignment="1">
      <alignment wrapText="1"/>
    </xf>
    <xf numFmtId="0" fontId="22" fillId="0" borderId="1" xfId="5" applyFont="1" applyFill="1" applyBorder="1" applyAlignment="1">
      <alignment wrapText="1"/>
    </xf>
    <xf numFmtId="0" fontId="22" fillId="0" borderId="1" xfId="5" applyFont="1" applyFill="1" applyBorder="1" applyAlignment="1">
      <alignment horizontal="center" vertical="center" wrapText="1"/>
    </xf>
    <xf numFmtId="166" fontId="22" fillId="0" borderId="1" xfId="5" applyNumberFormat="1" applyFont="1" applyFill="1" applyBorder="1" applyAlignment="1">
      <alignment wrapText="1"/>
    </xf>
    <xf numFmtId="0" fontId="15" fillId="0" borderId="1" xfId="5" applyFont="1" applyFill="1" applyBorder="1" applyAlignment="1">
      <alignment vertical="center" wrapText="1"/>
    </xf>
    <xf numFmtId="166" fontId="19" fillId="0" borderId="1" xfId="5" applyNumberFormat="1" applyFont="1" applyFill="1" applyBorder="1" applyAlignment="1">
      <alignment horizontal="right" vertical="center" wrapText="1"/>
    </xf>
    <xf numFmtId="0" fontId="20" fillId="0" borderId="0" xfId="5" applyFont="1" applyFill="1"/>
    <xf numFmtId="0" fontId="14" fillId="0" borderId="0" xfId="5" applyFont="1" applyFill="1"/>
    <xf numFmtId="2" fontId="16" fillId="0" borderId="1" xfId="5" applyNumberFormat="1" applyFont="1" applyFill="1" applyBorder="1" applyAlignment="1">
      <alignment horizontal="center" vertical="center" wrapText="1"/>
    </xf>
    <xf numFmtId="0" fontId="17" fillId="0" borderId="0" xfId="5" applyFont="1" applyFill="1" applyAlignment="1">
      <alignment horizontal="center" vertical="center" wrapText="1"/>
    </xf>
    <xf numFmtId="0" fontId="15" fillId="0" borderId="0" xfId="5" applyFont="1" applyFill="1" applyAlignment="1">
      <alignment horizontal="center" vertical="center"/>
    </xf>
    <xf numFmtId="0" fontId="15" fillId="0" borderId="12" xfId="5" applyFont="1" applyFill="1" applyBorder="1"/>
    <xf numFmtId="166" fontId="20" fillId="0" borderId="0" xfId="5" applyNumberFormat="1" applyFont="1" applyFill="1"/>
    <xf numFmtId="0" fontId="22" fillId="0" borderId="1" xfId="5" applyFont="1" applyFill="1" applyBorder="1" applyAlignment="1">
      <alignment horizontal="right"/>
    </xf>
    <xf numFmtId="0" fontId="22" fillId="0" borderId="0" xfId="5" applyFont="1" applyFill="1"/>
    <xf numFmtId="0" fontId="22" fillId="0" borderId="1" xfId="5" quotePrefix="1" applyFont="1" applyFill="1" applyBorder="1" applyAlignment="1">
      <alignment horizontal="right" vertical="center"/>
    </xf>
    <xf numFmtId="0" fontId="20" fillId="0" borderId="0" xfId="5" applyFont="1" applyFill="1" applyAlignment="1">
      <alignment horizontal="center"/>
    </xf>
    <xf numFmtId="0" fontId="21" fillId="0" borderId="0" xfId="5" applyFont="1" applyFill="1"/>
    <xf numFmtId="167" fontId="6" fillId="0" borderId="5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vertical="center"/>
    </xf>
    <xf numFmtId="172" fontId="10" fillId="0" borderId="1" xfId="0" applyNumberFormat="1" applyFont="1" applyFill="1" applyBorder="1" applyAlignment="1">
      <alignment vertical="center"/>
    </xf>
    <xf numFmtId="4" fontId="10" fillId="0" borderId="1" xfId="0" applyNumberFormat="1" applyFont="1" applyFill="1" applyBorder="1" applyAlignment="1">
      <alignment horizontal="right" vertical="center"/>
    </xf>
    <xf numFmtId="0" fontId="36" fillId="0" borderId="1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vertical="center"/>
    </xf>
    <xf numFmtId="172" fontId="36" fillId="0" borderId="1" xfId="0" applyNumberFormat="1" applyFont="1" applyFill="1" applyBorder="1" applyAlignment="1">
      <alignment vertical="center"/>
    </xf>
    <xf numFmtId="3" fontId="36" fillId="0" borderId="1" xfId="0" applyNumberFormat="1" applyFont="1" applyFill="1" applyBorder="1" applyAlignment="1">
      <alignment vertical="center"/>
    </xf>
    <xf numFmtId="0" fontId="36" fillId="0" borderId="1" xfId="0" applyFont="1" applyFill="1" applyBorder="1" applyAlignment="1">
      <alignment horizontal="right" vertical="center"/>
    </xf>
    <xf numFmtId="167" fontId="36" fillId="0" borderId="1" xfId="0" applyNumberFormat="1" applyFont="1" applyFill="1" applyBorder="1" applyAlignment="1">
      <alignment horizontal="center" vertical="center"/>
    </xf>
    <xf numFmtId="1" fontId="36" fillId="0" borderId="1" xfId="0" quotePrefix="1" applyNumberFormat="1" applyFont="1" applyFill="1" applyBorder="1" applyAlignment="1">
      <alignment horizontal="center" vertical="center"/>
    </xf>
    <xf numFmtId="168" fontId="36" fillId="0" borderId="1" xfId="0" quotePrefix="1" applyNumberFormat="1" applyFont="1" applyFill="1" applyBorder="1" applyAlignment="1">
      <alignment horizontal="center" vertical="center"/>
    </xf>
    <xf numFmtId="0" fontId="36" fillId="0" borderId="1" xfId="0" quotePrefix="1" applyFont="1" applyFill="1" applyBorder="1" applyAlignment="1">
      <alignment horizontal="center" vertical="center"/>
    </xf>
    <xf numFmtId="169" fontId="36" fillId="0" borderId="1" xfId="0" applyNumberFormat="1" applyFont="1" applyFill="1" applyBorder="1" applyAlignment="1">
      <alignment horizontal="center" vertical="center"/>
    </xf>
    <xf numFmtId="166" fontId="36" fillId="0" borderId="1" xfId="0" applyNumberFormat="1" applyFont="1" applyFill="1" applyBorder="1" applyAlignment="1">
      <alignment horizontal="center" vertical="center"/>
    </xf>
    <xf numFmtId="0" fontId="36" fillId="0" borderId="0" xfId="0" applyFont="1" applyFill="1" applyAlignment="1">
      <alignment vertical="center"/>
    </xf>
    <xf numFmtId="167" fontId="36" fillId="0" borderId="1" xfId="0" quotePrefix="1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166" fontId="36" fillId="0" borderId="0" xfId="0" applyNumberFormat="1" applyFont="1" applyFill="1" applyAlignment="1">
      <alignment vertical="center"/>
    </xf>
    <xf numFmtId="172" fontId="36" fillId="0" borderId="1" xfId="0" quotePrefix="1" applyNumberFormat="1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 wrapText="1"/>
    </xf>
    <xf numFmtId="0" fontId="36" fillId="0" borderId="3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170" fontId="10" fillId="0" borderId="0" xfId="0" applyNumberFormat="1" applyFont="1" applyFill="1" applyAlignment="1">
      <alignment vertical="center"/>
    </xf>
    <xf numFmtId="172" fontId="36" fillId="0" borderId="1" xfId="0" applyNumberFormat="1" applyFont="1" applyFill="1" applyBorder="1" applyAlignment="1">
      <alignment horizontal="center" vertical="center"/>
    </xf>
    <xf numFmtId="172" fontId="10" fillId="0" borderId="1" xfId="0" applyNumberFormat="1" applyFont="1" applyFill="1" applyBorder="1" applyAlignment="1">
      <alignment horizontal="center" vertical="center" wrapText="1"/>
    </xf>
    <xf numFmtId="172" fontId="36" fillId="0" borderId="1" xfId="0" applyNumberFormat="1" applyFont="1" applyFill="1" applyBorder="1" applyAlignment="1">
      <alignment horizontal="right" vertical="center"/>
    </xf>
    <xf numFmtId="172" fontId="36" fillId="0" borderId="0" xfId="0" applyNumberFormat="1" applyFont="1" applyFill="1" applyAlignment="1">
      <alignment vertical="center"/>
    </xf>
    <xf numFmtId="172" fontId="10" fillId="0" borderId="3" xfId="0" applyNumberFormat="1" applyFont="1" applyFill="1" applyBorder="1" applyAlignment="1">
      <alignment horizontal="center" vertical="center"/>
    </xf>
    <xf numFmtId="172" fontId="10" fillId="0" borderId="0" xfId="0" applyNumberFormat="1" applyFont="1" applyFill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166" fontId="28" fillId="0" borderId="1" xfId="0" applyNumberFormat="1" applyFont="1" applyFill="1" applyBorder="1" applyAlignment="1">
      <alignment horizontal="center" vertical="center"/>
    </xf>
    <xf numFmtId="0" fontId="38" fillId="0" borderId="0" xfId="0" applyFont="1" applyFill="1" applyAlignment="1">
      <alignment wrapText="1"/>
    </xf>
    <xf numFmtId="2" fontId="0" fillId="0" borderId="0" xfId="0" applyNumberFormat="1" applyFill="1"/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36" fillId="0" borderId="0" xfId="0" applyFont="1" applyFill="1" applyAlignment="1">
      <alignment horizontal="center" vertical="center"/>
    </xf>
    <xf numFmtId="166" fontId="10" fillId="0" borderId="0" xfId="0" applyNumberFormat="1" applyFont="1" applyFill="1" applyAlignment="1">
      <alignment vertical="center"/>
    </xf>
    <xf numFmtId="0" fontId="36" fillId="0" borderId="1" xfId="0" quotePrefix="1" applyFont="1" applyFill="1" applyBorder="1" applyAlignment="1">
      <alignment vertical="center"/>
    </xf>
    <xf numFmtId="0" fontId="37" fillId="0" borderId="0" xfId="0" applyFont="1" applyFill="1" applyAlignment="1">
      <alignment vertical="center"/>
    </xf>
    <xf numFmtId="0" fontId="37" fillId="0" borderId="0" xfId="0" applyFont="1" applyFill="1" applyAlignment="1">
      <alignment horizontal="center" vertical="center"/>
    </xf>
    <xf numFmtId="0" fontId="17" fillId="0" borderId="6" xfId="5" applyFont="1" applyFill="1" applyBorder="1" applyAlignment="1">
      <alignment horizontal="center" vertical="center" wrapText="1"/>
    </xf>
    <xf numFmtId="2" fontId="23" fillId="0" borderId="4" xfId="5" applyNumberFormat="1" applyFont="1" applyFill="1" applyBorder="1" applyAlignment="1">
      <alignment horizontal="center" vertical="center" wrapText="1"/>
    </xf>
    <xf numFmtId="2" fontId="23" fillId="0" borderId="1" xfId="5" applyNumberFormat="1" applyFont="1" applyFill="1" applyBorder="1" applyAlignment="1">
      <alignment horizontal="center" vertical="center" wrapText="1"/>
    </xf>
    <xf numFmtId="0" fontId="15" fillId="0" borderId="2" xfId="5" applyFont="1" applyFill="1" applyBorder="1" applyAlignment="1"/>
    <xf numFmtId="0" fontId="17" fillId="0" borderId="2" xfId="5" applyFont="1" applyFill="1" applyBorder="1" applyAlignment="1">
      <alignment horizontal="center"/>
    </xf>
    <xf numFmtId="0" fontId="17" fillId="0" borderId="12" xfId="5" applyFont="1" applyFill="1" applyBorder="1" applyAlignment="1">
      <alignment horizontal="center"/>
    </xf>
    <xf numFmtId="166" fontId="15" fillId="0" borderId="12" xfId="5" applyNumberFormat="1" applyFont="1" applyFill="1" applyBorder="1" applyAlignment="1">
      <alignment horizontal="right"/>
    </xf>
    <xf numFmtId="0" fontId="7" fillId="6" borderId="1" xfId="0" applyFont="1" applyFill="1" applyBorder="1" applyAlignment="1">
      <alignment vertical="center"/>
    </xf>
    <xf numFmtId="0" fontId="26" fillId="0" borderId="1" xfId="0" quotePrefix="1" applyFont="1" applyBorder="1" applyAlignment="1">
      <alignment vertical="center"/>
    </xf>
    <xf numFmtId="0" fontId="6" fillId="0" borderId="1" xfId="5" applyFont="1" applyBorder="1" applyAlignment="1">
      <alignment horizontal="left" vertical="center" wrapText="1"/>
    </xf>
    <xf numFmtId="0" fontId="6" fillId="0" borderId="1" xfId="0" applyFont="1" applyBorder="1"/>
    <xf numFmtId="0" fontId="6" fillId="0" borderId="1" xfId="0" applyFont="1" applyBorder="1" applyAlignment="1">
      <alignment vertical="center"/>
    </xf>
    <xf numFmtId="0" fontId="26" fillId="0" borderId="1" xfId="0" quotePrefix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7" fillId="0" borderId="0" xfId="5" applyFont="1" applyFill="1" applyAlignment="1">
      <alignment horizontal="center"/>
    </xf>
    <xf numFmtId="0" fontId="15" fillId="0" borderId="2" xfId="5" applyFont="1" applyFill="1" applyBorder="1"/>
    <xf numFmtId="166" fontId="15" fillId="0" borderId="13" xfId="5" applyNumberFormat="1" applyFont="1" applyFill="1" applyBorder="1" applyAlignment="1">
      <alignment horizontal="right" vertical="center" wrapText="1"/>
    </xf>
    <xf numFmtId="166" fontId="15" fillId="0" borderId="1" xfId="5" applyNumberFormat="1" applyFont="1" applyFill="1" applyBorder="1" applyAlignment="1">
      <alignment vertical="center" wrapText="1"/>
    </xf>
    <xf numFmtId="0" fontId="22" fillId="0" borderId="1" xfId="5" applyFont="1" applyFill="1" applyBorder="1" applyAlignment="1">
      <alignment horizontal="left"/>
    </xf>
    <xf numFmtId="166" fontId="15" fillId="0" borderId="1" xfId="5" applyNumberFormat="1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166" fontId="7" fillId="0" borderId="1" xfId="0" applyNumberFormat="1" applyFont="1" applyFill="1" applyBorder="1" applyAlignment="1">
      <alignment vertical="center"/>
    </xf>
    <xf numFmtId="4" fontId="7" fillId="0" borderId="1" xfId="0" applyNumberFormat="1" applyFont="1" applyFill="1" applyBorder="1" applyAlignment="1">
      <alignment vertical="center"/>
    </xf>
    <xf numFmtId="2" fontId="0" fillId="4" borderId="0" xfId="0" applyNumberFormat="1" applyFill="1"/>
    <xf numFmtId="2" fontId="6" fillId="0" borderId="0" xfId="0" applyNumberFormat="1" applyFont="1" applyFill="1" applyAlignment="1">
      <alignment vertical="center"/>
    </xf>
    <xf numFmtId="2" fontId="7" fillId="0" borderId="0" xfId="0" applyNumberFormat="1" applyFont="1" applyFill="1" applyAlignment="1">
      <alignment vertical="center"/>
    </xf>
    <xf numFmtId="2" fontId="7" fillId="0" borderId="1" xfId="0" applyNumberFormat="1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vertical="center"/>
    </xf>
    <xf numFmtId="2" fontId="6" fillId="0" borderId="3" xfId="0" applyNumberFormat="1" applyFont="1" applyFill="1" applyBorder="1" applyAlignment="1">
      <alignment horizontal="right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0" xfId="0" applyFont="1"/>
    <xf numFmtId="172" fontId="6" fillId="0" borderId="0" xfId="0" applyNumberFormat="1" applyFont="1"/>
    <xf numFmtId="166" fontId="17" fillId="0" borderId="1" xfId="5" applyNumberFormat="1" applyFont="1" applyFill="1" applyBorder="1" applyAlignment="1">
      <alignment horizontal="right"/>
    </xf>
    <xf numFmtId="0" fontId="15" fillId="0" borderId="1" xfId="5" applyFont="1" applyFill="1" applyBorder="1" applyAlignment="1"/>
    <xf numFmtId="0" fontId="17" fillId="0" borderId="1" xfId="5" applyFont="1" applyFill="1" applyBorder="1" applyAlignment="1">
      <alignment horizontal="center"/>
    </xf>
    <xf numFmtId="166" fontId="15" fillId="0" borderId="1" xfId="5" applyNumberFormat="1" applyFont="1" applyFill="1" applyBorder="1" applyAlignment="1">
      <alignment horizontal="right"/>
    </xf>
    <xf numFmtId="0" fontId="15" fillId="0" borderId="1" xfId="5" quotePrefix="1" applyFont="1" applyFill="1" applyBorder="1" applyAlignment="1">
      <alignment vertical="center"/>
    </xf>
    <xf numFmtId="2" fontId="35" fillId="0" borderId="1" xfId="0" applyNumberFormat="1" applyFont="1" applyFill="1" applyBorder="1" applyAlignment="1">
      <alignment horizontal="center" vertical="center"/>
    </xf>
    <xf numFmtId="2" fontId="10" fillId="0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7" fillId="0" borderId="18" xfId="0" applyFont="1" applyFill="1" applyBorder="1" applyAlignment="1">
      <alignment horizontal="center"/>
    </xf>
    <xf numFmtId="172" fontId="26" fillId="0" borderId="19" xfId="0" quotePrefix="1" applyNumberFormat="1" applyFont="1" applyFill="1" applyBorder="1" applyAlignment="1">
      <alignment horizontal="right"/>
    </xf>
    <xf numFmtId="172" fontId="6" fillId="0" borderId="19" xfId="0" applyNumberFormat="1" applyFont="1" applyFill="1" applyBorder="1" applyAlignment="1">
      <alignment horizontal="right"/>
    </xf>
    <xf numFmtId="0" fontId="6" fillId="0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left"/>
    </xf>
    <xf numFmtId="3" fontId="6" fillId="0" borderId="24" xfId="0" applyNumberFormat="1" applyFont="1" applyFill="1" applyBorder="1" applyAlignment="1">
      <alignment vertical="center"/>
    </xf>
    <xf numFmtId="172" fontId="6" fillId="0" borderId="24" xfId="0" applyNumberFormat="1" applyFont="1" applyFill="1" applyBorder="1" applyAlignment="1">
      <alignment horizontal="right" vertical="center"/>
    </xf>
    <xf numFmtId="172" fontId="7" fillId="0" borderId="25" xfId="0" applyNumberFormat="1" applyFont="1" applyFill="1" applyBorder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7" fontId="36" fillId="0" borderId="4" xfId="0" applyNumberFormat="1" applyFont="1" applyFill="1" applyBorder="1" applyAlignment="1">
      <alignment horizontal="center" vertical="center"/>
    </xf>
    <xf numFmtId="167" fontId="36" fillId="0" borderId="5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72" fontId="10" fillId="0" borderId="2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center" vertical="center"/>
    </xf>
    <xf numFmtId="172" fontId="9" fillId="0" borderId="0" xfId="0" applyNumberFormat="1" applyFont="1" applyFill="1" applyAlignment="1">
      <alignment horizontal="center" vertical="center"/>
    </xf>
    <xf numFmtId="172" fontId="10" fillId="0" borderId="0" xfId="0" applyNumberFormat="1" applyFont="1" applyFill="1" applyAlignment="1">
      <alignment horizontal="center" vertical="center"/>
    </xf>
    <xf numFmtId="167" fontId="6" fillId="0" borderId="4" xfId="0" applyNumberFormat="1" applyFont="1" applyFill="1" applyBorder="1" applyAlignment="1">
      <alignment horizontal="center" vertical="center"/>
    </xf>
    <xf numFmtId="167" fontId="6" fillId="0" borderId="5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167" fontId="6" fillId="4" borderId="5" xfId="0" applyNumberFormat="1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 wrapText="1"/>
    </xf>
    <xf numFmtId="0" fontId="7" fillId="0" borderId="5" xfId="0" applyFont="1" applyFill="1" applyBorder="1" applyAlignment="1">
      <alignment horizontal="center" vertical="center" wrapText="1"/>
    </xf>
    <xf numFmtId="0" fontId="13" fillId="0" borderId="2" xfId="5" applyFont="1" applyFill="1" applyBorder="1" applyAlignment="1">
      <alignment horizontal="center" vertical="center"/>
    </xf>
    <xf numFmtId="0" fontId="17" fillId="0" borderId="8" xfId="5" applyFont="1" applyFill="1" applyBorder="1" applyAlignment="1">
      <alignment horizontal="center" vertical="center"/>
    </xf>
    <xf numFmtId="0" fontId="17" fillId="0" borderId="10" xfId="5" applyFont="1" applyFill="1" applyBorder="1" applyAlignment="1">
      <alignment horizontal="center" vertical="center"/>
    </xf>
    <xf numFmtId="0" fontId="17" fillId="0" borderId="1" xfId="5" applyFont="1" applyFill="1" applyBorder="1" applyAlignment="1">
      <alignment horizontal="center"/>
    </xf>
    <xf numFmtId="0" fontId="15" fillId="0" borderId="1" xfId="5" applyFont="1" applyFill="1" applyBorder="1" applyAlignment="1">
      <alignment horizontal="center"/>
    </xf>
    <xf numFmtId="0" fontId="17" fillId="0" borderId="14" xfId="5" applyFont="1" applyFill="1" applyBorder="1" applyAlignment="1">
      <alignment horizontal="center" vertical="center"/>
    </xf>
    <xf numFmtId="0" fontId="17" fillId="0" borderId="8" xfId="5" applyFont="1" applyFill="1" applyBorder="1" applyAlignment="1">
      <alignment horizontal="center"/>
    </xf>
    <xf numFmtId="0" fontId="17" fillId="0" borderId="6" xfId="5" applyFont="1" applyFill="1" applyBorder="1" applyAlignment="1">
      <alignment horizontal="center"/>
    </xf>
    <xf numFmtId="0" fontId="17" fillId="0" borderId="9" xfId="5" applyFont="1" applyFill="1" applyBorder="1" applyAlignment="1">
      <alignment horizontal="center"/>
    </xf>
    <xf numFmtId="0" fontId="15" fillId="0" borderId="10" xfId="5" applyFont="1" applyFill="1" applyBorder="1" applyAlignment="1">
      <alignment horizontal="center"/>
    </xf>
    <xf numFmtId="0" fontId="15" fillId="0" borderId="0" xfId="5" applyFont="1" applyFill="1" applyBorder="1" applyAlignment="1">
      <alignment horizontal="center"/>
    </xf>
    <xf numFmtId="0" fontId="15" fillId="0" borderId="14" xfId="5" applyFont="1" applyFill="1" applyBorder="1" applyAlignment="1">
      <alignment horizontal="center"/>
    </xf>
    <xf numFmtId="0" fontId="15" fillId="0" borderId="2" xfId="5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166" fontId="28" fillId="0" borderId="1" xfId="0" applyNumberFormat="1" applyFont="1" applyFill="1" applyBorder="1" applyAlignment="1">
      <alignment horizontal="center" vertical="center"/>
    </xf>
    <xf numFmtId="4" fontId="25" fillId="0" borderId="1" xfId="0" applyNumberFormat="1" applyFont="1" applyFill="1" applyBorder="1" applyAlignment="1">
      <alignment horizontal="center" vertical="center" wrapText="1"/>
    </xf>
    <xf numFmtId="0" fontId="28" fillId="0" borderId="1" xfId="0" applyFont="1" applyFill="1" applyBorder="1" applyAlignment="1">
      <alignment horizontal="center" vertical="center" wrapText="1"/>
    </xf>
    <xf numFmtId="0" fontId="40" fillId="0" borderId="0" xfId="0" applyFont="1" applyFill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17" fillId="0" borderId="4" xfId="5" applyFont="1" applyFill="1" applyBorder="1" applyAlignment="1">
      <alignment horizontal="center"/>
    </xf>
    <xf numFmtId="0" fontId="17" fillId="0" borderId="7" xfId="5" applyFont="1" applyFill="1" applyBorder="1" applyAlignment="1">
      <alignment horizontal="center"/>
    </xf>
    <xf numFmtId="0" fontId="17" fillId="0" borderId="5" xfId="5" applyFont="1" applyFill="1" applyBorder="1" applyAlignment="1">
      <alignment horizontal="center"/>
    </xf>
    <xf numFmtId="0" fontId="15" fillId="0" borderId="0" xfId="5" applyFont="1" applyFill="1" applyAlignment="1">
      <alignment horizontal="center"/>
    </xf>
  </cellXfs>
  <cellStyles count="7">
    <cellStyle name="Comma 2" xfId="1" xr:uid="{00000000-0005-0000-0000-000000000000}"/>
    <cellStyle name="Comma 2 2 3" xfId="6" xr:uid="{00000000-0005-0000-0000-000001000000}"/>
    <cellStyle name="Comma 3" xfId="2" xr:uid="{00000000-0005-0000-0000-000002000000}"/>
    <cellStyle name="Comma 3 2" xfId="3" xr:uid="{00000000-0005-0000-0000-000003000000}"/>
    <cellStyle name="Normal" xfId="0" builtinId="0"/>
    <cellStyle name="Normal 2 2" xfId="4" xr:uid="{00000000-0005-0000-0000-000005000000}"/>
    <cellStyle name="Normal 3" xfId="5" xr:uid="{00000000-0005-0000-0000-000006000000}"/>
  </cellStyles>
  <dxfs count="300"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0FA5A2-7901-43DB-BC14-68C1C9A82AFD}">
  <we:reference id="7e8130a8-93b8-4621-ac15-2e3bcb21f4fc" version="1.0.0.0" store="\\namviet\Thiet_Ke\App" storeType="Filesystem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_xldudf_CONTOSO_ADD</we:customFunctionIds>
        <we:customFunctionIds>_xldudf_CONTOSO_GETDAY</we:customFunctionIds>
        <we:customFunctionIds>_xldudf_CONTOSO_INCREMENTVALUE</we:customFunctionIds>
        <we:customFunctionIds>_xldudf_CONTOSO_SECONDHIGHEST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L214"/>
  <sheetViews>
    <sheetView tabSelected="1" view="pageBreakPreview" zoomScale="115" zoomScaleNormal="100" zoomScaleSheetLayoutView="115" workbookViewId="0">
      <pane ySplit="1" topLeftCell="A18" activePane="bottomLeft" state="frozen"/>
      <selection activeCell="B1" sqref="B1"/>
      <selection pane="bottomLeft" activeCell="D17" sqref="D17"/>
    </sheetView>
  </sheetViews>
  <sheetFormatPr defaultColWidth="9.109375" defaultRowHeight="15.6"/>
  <cols>
    <col min="1" max="1" width="5.5546875" style="78" customWidth="1"/>
    <col min="2" max="2" width="4.33203125" style="78" hidden="1" customWidth="1"/>
    <col min="3" max="3" width="42.5546875" style="78" bestFit="1" customWidth="1"/>
    <col min="4" max="4" width="9.6640625" style="78" customWidth="1"/>
    <col min="5" max="5" width="6.44140625" style="270" customWidth="1"/>
    <col min="6" max="6" width="12.44140625" style="78" customWidth="1"/>
    <col min="7" max="7" width="25.88671875" style="108" customWidth="1"/>
    <col min="8" max="8" width="13.33203125" style="108" customWidth="1"/>
    <col min="9" max="9" width="12.5546875" style="108" customWidth="1"/>
    <col min="10" max="16384" width="9.109375" style="78"/>
  </cols>
  <sheetData>
    <row r="1" spans="1:12" ht="25.5" customHeight="1">
      <c r="A1" s="331" t="s">
        <v>289</v>
      </c>
      <c r="B1" s="331"/>
      <c r="C1" s="331"/>
      <c r="D1" s="331"/>
      <c r="E1" s="331"/>
      <c r="F1" s="331"/>
      <c r="G1" s="331"/>
      <c r="H1" s="331"/>
      <c r="I1" s="331"/>
      <c r="J1" s="115"/>
    </row>
    <row r="2" spans="1:12" ht="25.5" customHeight="1">
      <c r="A2" s="332" t="s">
        <v>367</v>
      </c>
      <c r="B2" s="332"/>
      <c r="C2" s="332"/>
      <c r="D2" s="332"/>
      <c r="E2" s="332"/>
      <c r="F2" s="332"/>
      <c r="G2" s="332"/>
      <c r="H2" s="332"/>
      <c r="I2" s="332"/>
      <c r="J2" s="115"/>
      <c r="L2" s="79" t="s">
        <v>10</v>
      </c>
    </row>
    <row r="3" spans="1:12" ht="25.5" customHeight="1" thickBot="1">
      <c r="A3" s="332" t="s">
        <v>368</v>
      </c>
      <c r="B3" s="332"/>
      <c r="C3" s="332"/>
      <c r="D3" s="332"/>
      <c r="E3" s="332"/>
      <c r="F3" s="332"/>
      <c r="G3" s="332"/>
      <c r="H3" s="332"/>
      <c r="I3" s="332"/>
      <c r="J3" s="115"/>
      <c r="L3" s="79" t="s">
        <v>5</v>
      </c>
    </row>
    <row r="4" spans="1:12" ht="16.2" hidden="1" thickBot="1">
      <c r="A4" s="115"/>
      <c r="B4" s="115"/>
      <c r="C4" s="115"/>
      <c r="D4" s="40" t="s">
        <v>294</v>
      </c>
      <c r="E4" s="40"/>
      <c r="F4" s="40"/>
      <c r="G4" s="40"/>
      <c r="H4" s="175"/>
      <c r="I4" s="175"/>
      <c r="J4" s="115"/>
      <c r="L4" s="79" t="s">
        <v>4</v>
      </c>
    </row>
    <row r="5" spans="1:12" ht="24" customHeight="1" thickTop="1">
      <c r="A5" s="176" t="s">
        <v>3</v>
      </c>
      <c r="B5" s="177" t="s">
        <v>18</v>
      </c>
      <c r="C5" s="178" t="s">
        <v>11</v>
      </c>
      <c r="D5" s="178" t="s">
        <v>9</v>
      </c>
      <c r="E5" s="178" t="s">
        <v>20</v>
      </c>
      <c r="F5" s="178" t="s">
        <v>391</v>
      </c>
      <c r="G5" s="179" t="s">
        <v>30</v>
      </c>
      <c r="H5" s="180" t="s">
        <v>389</v>
      </c>
      <c r="I5" s="181" t="s">
        <v>8</v>
      </c>
      <c r="J5" s="115"/>
      <c r="L5" s="79" t="s">
        <v>0</v>
      </c>
    </row>
    <row r="6" spans="1:12">
      <c r="A6" s="182" t="s">
        <v>267</v>
      </c>
      <c r="B6" s="77"/>
      <c r="C6" s="183" t="s">
        <v>369</v>
      </c>
      <c r="D6" s="77"/>
      <c r="E6" s="77"/>
      <c r="F6" s="184"/>
      <c r="G6" s="185"/>
      <c r="H6" s="186"/>
      <c r="I6" s="187"/>
      <c r="J6" s="115"/>
      <c r="L6" s="79" t="s">
        <v>16</v>
      </c>
    </row>
    <row r="7" spans="1:12" s="79" customFormat="1">
      <c r="A7" s="118" t="s">
        <v>465</v>
      </c>
      <c r="B7" s="72"/>
      <c r="C7" s="7" t="s">
        <v>370</v>
      </c>
      <c r="D7" s="72"/>
      <c r="E7" s="72"/>
      <c r="F7" s="307"/>
      <c r="G7" s="63"/>
      <c r="H7" s="188"/>
      <c r="I7" s="153"/>
      <c r="J7" s="115"/>
      <c r="L7" s="79" t="s">
        <v>15</v>
      </c>
    </row>
    <row r="8" spans="1:12" s="79" customFormat="1">
      <c r="A8" s="112">
        <v>1</v>
      </c>
      <c r="B8" s="72">
        <v>1</v>
      </c>
      <c r="C8" s="4" t="s">
        <v>347</v>
      </c>
      <c r="D8" s="72" t="s">
        <v>14</v>
      </c>
      <c r="E8" s="308">
        <v>1</v>
      </c>
      <c r="F8" s="111">
        <v>1</v>
      </c>
      <c r="G8" s="72" t="s">
        <v>390</v>
      </c>
      <c r="H8" s="152">
        <f ca="1">Eval(G8)</f>
        <v>3250</v>
      </c>
      <c r="I8" s="153">
        <f t="shared" ref="I8:I17" ca="1" si="0">ROUND(E8*F8*H8,3)</f>
        <v>3250</v>
      </c>
      <c r="J8" s="115"/>
      <c r="L8" s="79" t="s">
        <v>308</v>
      </c>
    </row>
    <row r="9" spans="1:12" s="93" customFormat="1">
      <c r="A9" s="112">
        <f>IF(LEN(B9)=0," ",COUNTA($B$8:B9))</f>
        <v>2</v>
      </c>
      <c r="B9" s="72">
        <v>1</v>
      </c>
      <c r="C9" s="4" t="s">
        <v>288</v>
      </c>
      <c r="D9" s="72" t="s">
        <v>7</v>
      </c>
      <c r="E9" s="268">
        <v>0.01</v>
      </c>
      <c r="F9" s="111">
        <v>1</v>
      </c>
      <c r="G9" s="72" t="s">
        <v>340</v>
      </c>
      <c r="H9" s="152">
        <f>'Đào đắp'!U34</f>
        <v>5033.4650000000001</v>
      </c>
      <c r="I9" s="153">
        <f t="shared" si="0"/>
        <v>50.335000000000001</v>
      </c>
      <c r="J9" s="115"/>
      <c r="L9" s="93" t="s">
        <v>24</v>
      </c>
    </row>
    <row r="10" spans="1:12" s="93" customFormat="1">
      <c r="A10" s="112">
        <f>IF(LEN(B10)=0," ",COUNTA($B$8:B10))</f>
        <v>3</v>
      </c>
      <c r="B10" s="72">
        <v>1</v>
      </c>
      <c r="C10" s="4" t="s">
        <v>463</v>
      </c>
      <c r="D10" s="72" t="s">
        <v>7</v>
      </c>
      <c r="E10" s="268">
        <v>0.01</v>
      </c>
      <c r="F10" s="111">
        <v>1</v>
      </c>
      <c r="G10" s="72" t="s">
        <v>340</v>
      </c>
      <c r="H10" s="152">
        <f>'Đào đắp'!V34</f>
        <v>1626.54</v>
      </c>
      <c r="I10" s="153">
        <f t="shared" si="0"/>
        <v>16.265000000000001</v>
      </c>
      <c r="J10" s="115"/>
    </row>
    <row r="11" spans="1:12" s="79" customFormat="1" hidden="1">
      <c r="A11" s="112" t="str">
        <f>IF(LEN(B11)=0," ",COUNTA($B$8:B11))</f>
        <v xml:space="preserve"> </v>
      </c>
      <c r="B11" s="72"/>
      <c r="C11" s="4" t="s">
        <v>373</v>
      </c>
      <c r="D11" s="72" t="s">
        <v>374</v>
      </c>
      <c r="E11" s="308">
        <v>1</v>
      </c>
      <c r="F11" s="111">
        <v>1</v>
      </c>
      <c r="G11" s="72" t="s">
        <v>392</v>
      </c>
      <c r="H11" s="152">
        <f ca="1">Eval(G11)</f>
        <v>13.67332</v>
      </c>
      <c r="I11" s="153">
        <f t="shared" ca="1" si="0"/>
        <v>13.673</v>
      </c>
      <c r="J11" s="115"/>
      <c r="L11" s="79" t="s">
        <v>374</v>
      </c>
    </row>
    <row r="12" spans="1:12" s="79" customFormat="1">
      <c r="A12" s="112">
        <f>IF(LEN(B12)=0," ",COUNTA($B$8:B12))</f>
        <v>4</v>
      </c>
      <c r="B12" s="72">
        <v>1</v>
      </c>
      <c r="C12" s="4" t="s">
        <v>393</v>
      </c>
      <c r="D12" s="72" t="s">
        <v>7</v>
      </c>
      <c r="E12" s="308">
        <v>0.01</v>
      </c>
      <c r="F12" s="111">
        <v>1</v>
      </c>
      <c r="G12" s="72" t="s">
        <v>394</v>
      </c>
      <c r="H12" s="152">
        <f ca="1">Eval(G12)</f>
        <v>7577</v>
      </c>
      <c r="I12" s="153">
        <f t="shared" ca="1" si="0"/>
        <v>75.77</v>
      </c>
      <c r="J12" s="115"/>
      <c r="L12" s="79" t="s">
        <v>308</v>
      </c>
    </row>
    <row r="13" spans="1:12" s="79" customFormat="1">
      <c r="A13" s="112">
        <f>IF(LEN(B13)=0," ",COUNTA($B$8:B13))</f>
        <v>5</v>
      </c>
      <c r="B13" s="72">
        <v>1</v>
      </c>
      <c r="C13" s="4" t="s">
        <v>395</v>
      </c>
      <c r="D13" s="72" t="s">
        <v>7</v>
      </c>
      <c r="E13" s="308">
        <v>0.01</v>
      </c>
      <c r="F13" s="111">
        <v>1</v>
      </c>
      <c r="G13" s="72" t="s">
        <v>394</v>
      </c>
      <c r="H13" s="152">
        <f ca="1">Eval(G13)</f>
        <v>7577</v>
      </c>
      <c r="I13" s="153">
        <f t="shared" ca="1" si="0"/>
        <v>75.77</v>
      </c>
      <c r="J13" s="115"/>
    </row>
    <row r="14" spans="1:12" s="93" customFormat="1">
      <c r="A14" s="112">
        <f>IF(LEN(B14)=0," ",COUNTA($B$8:B14))</f>
        <v>6</v>
      </c>
      <c r="B14" s="72">
        <v>1</v>
      </c>
      <c r="C14" s="4" t="s">
        <v>364</v>
      </c>
      <c r="D14" s="72" t="s">
        <v>7</v>
      </c>
      <c r="E14" s="308">
        <v>0.01</v>
      </c>
      <c r="F14" s="111">
        <v>1</v>
      </c>
      <c r="G14" s="72" t="s">
        <v>340</v>
      </c>
      <c r="H14" s="152">
        <f>'Đào đắp'!W34</f>
        <v>3428.6050000000005</v>
      </c>
      <c r="I14" s="153">
        <f t="shared" si="0"/>
        <v>34.286000000000001</v>
      </c>
      <c r="J14" s="115"/>
      <c r="L14" s="93" t="s">
        <v>14</v>
      </c>
    </row>
    <row r="15" spans="1:12" s="93" customFormat="1">
      <c r="A15" s="112">
        <f>IF(LEN(B15)=0," ",COUNTA($B$8:B15))</f>
        <v>7</v>
      </c>
      <c r="B15" s="72">
        <v>1</v>
      </c>
      <c r="C15" s="4" t="s">
        <v>287</v>
      </c>
      <c r="D15" s="72" t="s">
        <v>7</v>
      </c>
      <c r="E15" s="308">
        <v>0.01</v>
      </c>
      <c r="F15" s="111">
        <v>1</v>
      </c>
      <c r="G15" s="72" t="s">
        <v>340</v>
      </c>
      <c r="H15" s="152">
        <f>'Đào đắp'!Y34</f>
        <v>333.7</v>
      </c>
      <c r="I15" s="153">
        <f t="shared" si="0"/>
        <v>3.3370000000000002</v>
      </c>
      <c r="J15" s="115"/>
      <c r="L15" s="93" t="s">
        <v>6</v>
      </c>
    </row>
    <row r="16" spans="1:12" s="93" customFormat="1">
      <c r="A16" s="112">
        <f>IF(LEN(B16)=0," ",COUNTA($B$8:B16))</f>
        <v>8</v>
      </c>
      <c r="B16" s="72">
        <v>1</v>
      </c>
      <c r="C16" s="4" t="s">
        <v>349</v>
      </c>
      <c r="D16" s="72" t="s">
        <v>7</v>
      </c>
      <c r="E16" s="308">
        <v>0.01</v>
      </c>
      <c r="F16" s="111">
        <v>1</v>
      </c>
      <c r="G16" s="72" t="s">
        <v>340</v>
      </c>
      <c r="H16" s="152">
        <f>'Đào đắp'!X34</f>
        <v>126.89999999999999</v>
      </c>
      <c r="I16" s="153">
        <f t="shared" si="0"/>
        <v>1.2689999999999999</v>
      </c>
      <c r="J16" s="115"/>
      <c r="L16" s="93" t="s">
        <v>384</v>
      </c>
    </row>
    <row r="17" spans="1:12" s="114" customFormat="1">
      <c r="A17" s="112">
        <f>IF(LEN(B17)=0," ",COUNTA($B$8:B17))</f>
        <v>9</v>
      </c>
      <c r="B17" s="72">
        <v>1</v>
      </c>
      <c r="C17" s="4" t="s">
        <v>286</v>
      </c>
      <c r="D17" s="72" t="s">
        <v>4</v>
      </c>
      <c r="E17" s="72">
        <v>0.01</v>
      </c>
      <c r="F17" s="116">
        <v>1</v>
      </c>
      <c r="G17" s="4"/>
      <c r="H17" s="152">
        <f>SUM(H18:H19)</f>
        <v>7923.2900000000009</v>
      </c>
      <c r="I17" s="153">
        <f t="shared" si="0"/>
        <v>79.233000000000004</v>
      </c>
      <c r="J17" s="115"/>
      <c r="L17" s="114" t="s">
        <v>7</v>
      </c>
    </row>
    <row r="18" spans="1:12" s="93" customFormat="1">
      <c r="A18" s="112"/>
      <c r="B18" s="72"/>
      <c r="C18" s="4" t="s">
        <v>286</v>
      </c>
      <c r="D18" s="72" t="s">
        <v>0</v>
      </c>
      <c r="E18" s="308"/>
      <c r="F18" s="4"/>
      <c r="G18" s="72" t="s">
        <v>340</v>
      </c>
      <c r="H18" s="120">
        <f>'Đào đắp'!AB34</f>
        <v>5907.9000000000005</v>
      </c>
      <c r="I18" s="153"/>
      <c r="J18" s="115"/>
    </row>
    <row r="19" spans="1:12" s="93" customFormat="1">
      <c r="A19" s="112"/>
      <c r="B19" s="72"/>
      <c r="C19" s="117" t="s">
        <v>285</v>
      </c>
      <c r="D19" s="72" t="s">
        <v>0</v>
      </c>
      <c r="E19" s="308"/>
      <c r="F19" s="4"/>
      <c r="G19" s="72" t="s">
        <v>340</v>
      </c>
      <c r="H19" s="120">
        <f>'Đào đắp'!AA34</f>
        <v>2015.3899999999999</v>
      </c>
      <c r="I19" s="153"/>
      <c r="J19" s="115"/>
      <c r="L19" s="93" t="s">
        <v>23</v>
      </c>
    </row>
    <row r="20" spans="1:12" s="114" customFormat="1">
      <c r="A20" s="118" t="s">
        <v>465</v>
      </c>
      <c r="B20" s="72"/>
      <c r="C20" s="7" t="s">
        <v>346</v>
      </c>
      <c r="D20" s="72"/>
      <c r="E20" s="308"/>
      <c r="F20" s="308"/>
      <c r="G20" s="309"/>
      <c r="H20" s="152"/>
      <c r="I20" s="153"/>
      <c r="J20" s="115"/>
    </row>
    <row r="21" spans="1:12" s="114" customFormat="1">
      <c r="A21" s="112">
        <f>IF(LEN(B21)=0," ",COUNTA($B$8:B21))</f>
        <v>10</v>
      </c>
      <c r="B21" s="72">
        <v>1</v>
      </c>
      <c r="C21" s="4" t="s">
        <v>284</v>
      </c>
      <c r="D21" s="72" t="s">
        <v>4</v>
      </c>
      <c r="E21" s="308">
        <v>0.01</v>
      </c>
      <c r="F21" s="116">
        <v>1</v>
      </c>
      <c r="G21" s="4"/>
      <c r="H21" s="152">
        <f>SUM(H22:H23)</f>
        <v>3192.88</v>
      </c>
      <c r="I21" s="153">
        <f>ROUND(E21*F21*H21,3)</f>
        <v>31.928999999999998</v>
      </c>
      <c r="J21" s="115"/>
    </row>
    <row r="22" spans="1:12" s="114" customFormat="1">
      <c r="A22" s="112"/>
      <c r="B22" s="72"/>
      <c r="C22" s="4" t="s">
        <v>284</v>
      </c>
      <c r="D22" s="72" t="s">
        <v>0</v>
      </c>
      <c r="E22" s="308"/>
      <c r="F22" s="4"/>
      <c r="G22" s="72" t="s">
        <v>340</v>
      </c>
      <c r="H22" s="120">
        <f>'Đào đắp'!AD34</f>
        <v>2380.5450000000001</v>
      </c>
      <c r="I22" s="153"/>
      <c r="J22" s="115"/>
    </row>
    <row r="23" spans="1:12" s="114" customFormat="1">
      <c r="A23" s="112"/>
      <c r="B23" s="72"/>
      <c r="C23" s="4" t="s">
        <v>283</v>
      </c>
      <c r="D23" s="72" t="s">
        <v>0</v>
      </c>
      <c r="E23" s="308"/>
      <c r="F23" s="4"/>
      <c r="G23" s="72" t="s">
        <v>340</v>
      </c>
      <c r="H23" s="120">
        <f>'Đào đắp'!AC34</f>
        <v>812.33499999999992</v>
      </c>
      <c r="I23" s="153"/>
      <c r="J23" s="115"/>
    </row>
    <row r="24" spans="1:12" s="114" customFormat="1" hidden="1">
      <c r="A24" s="112" t="str">
        <f>IF(LEN(B24)=0," ",COUNTA($B$8:B24))</f>
        <v xml:space="preserve"> </v>
      </c>
      <c r="B24" s="72"/>
      <c r="C24" s="4" t="s">
        <v>594</v>
      </c>
      <c r="D24" s="72" t="s">
        <v>5</v>
      </c>
      <c r="E24" s="308">
        <v>1</v>
      </c>
      <c r="F24" s="4">
        <v>1</v>
      </c>
      <c r="G24" s="72" t="s">
        <v>340</v>
      </c>
      <c r="H24" s="152">
        <f>'Đào đắp'!Z34</f>
        <v>89.805000000000007</v>
      </c>
      <c r="I24" s="153">
        <f t="shared" ref="I24:I25" si="1">E24*F24*H24</f>
        <v>89.805000000000007</v>
      </c>
      <c r="J24" s="115"/>
    </row>
    <row r="25" spans="1:12" s="114" customFormat="1">
      <c r="A25" s="112">
        <f>IF(LEN(B25)=0," ",COUNTA($B$8:B25))</f>
        <v>11</v>
      </c>
      <c r="B25" s="72">
        <v>1</v>
      </c>
      <c r="C25" s="4" t="s">
        <v>282</v>
      </c>
      <c r="D25" s="72" t="s">
        <v>23</v>
      </c>
      <c r="E25" s="308">
        <v>1</v>
      </c>
      <c r="F25" s="113">
        <v>1</v>
      </c>
      <c r="G25" s="72" t="s">
        <v>595</v>
      </c>
      <c r="H25" s="152">
        <f ca="1">Eval(G25)</f>
        <v>235</v>
      </c>
      <c r="I25" s="153">
        <f t="shared" ca="1" si="1"/>
        <v>235</v>
      </c>
      <c r="J25" s="115"/>
    </row>
    <row r="26" spans="1:12" s="114" customFormat="1" ht="12.75" hidden="1" customHeight="1">
      <c r="A26" s="112" t="str">
        <f>IF(LEN(B26)=0," ",COUNTA($B$8:B26))</f>
        <v xml:space="preserve"> </v>
      </c>
      <c r="B26" s="72"/>
      <c r="C26" s="4" t="s">
        <v>382</v>
      </c>
      <c r="D26" s="72" t="s">
        <v>383</v>
      </c>
      <c r="E26" s="308">
        <v>1</v>
      </c>
      <c r="F26" s="4">
        <v>1</v>
      </c>
      <c r="G26" s="72" t="s">
        <v>396</v>
      </c>
      <c r="H26" s="152">
        <f ca="1">Eval(G26)</f>
        <v>11.045999999999999</v>
      </c>
      <c r="I26" s="153">
        <f ca="1">E26*F26*H26</f>
        <v>11.045999999999999</v>
      </c>
      <c r="J26" s="115"/>
    </row>
    <row r="27" spans="1:12" s="93" customFormat="1">
      <c r="A27" s="112">
        <f>IF(LEN(B27)=0," ",COUNTA($B$8:B27))</f>
        <v>12</v>
      </c>
      <c r="B27" s="72">
        <v>1</v>
      </c>
      <c r="C27" s="4" t="s">
        <v>511</v>
      </c>
      <c r="D27" s="72" t="s">
        <v>6</v>
      </c>
      <c r="E27" s="72">
        <v>0.01</v>
      </c>
      <c r="F27" s="4">
        <v>1</v>
      </c>
      <c r="G27" s="120"/>
      <c r="H27" s="154">
        <f>ROUND(470/0.6*4,0)</f>
        <v>3133</v>
      </c>
      <c r="I27" s="153">
        <f>E27*F27*H27</f>
        <v>31.330000000000002</v>
      </c>
      <c r="J27" s="115"/>
    </row>
    <row r="28" spans="1:12" s="93" customFormat="1">
      <c r="A28" s="112">
        <f>IF(LEN(B28)=0," ",COUNTA($B$8:B28))</f>
        <v>13</v>
      </c>
      <c r="B28" s="72">
        <v>1</v>
      </c>
      <c r="C28" s="4" t="s">
        <v>549</v>
      </c>
      <c r="D28" s="72" t="s">
        <v>6</v>
      </c>
      <c r="E28" s="72">
        <v>0.01</v>
      </c>
      <c r="F28" s="4">
        <v>1</v>
      </c>
      <c r="G28" s="120"/>
      <c r="H28" s="154">
        <f>H27</f>
        <v>3133</v>
      </c>
      <c r="I28" s="153">
        <f>E28*F28*H28</f>
        <v>31.330000000000002</v>
      </c>
      <c r="J28" s="115"/>
    </row>
    <row r="29" spans="1:12" s="123" customFormat="1">
      <c r="A29" s="118" t="s">
        <v>465</v>
      </c>
      <c r="B29" s="72"/>
      <c r="C29" s="7" t="s">
        <v>281</v>
      </c>
      <c r="D29" s="307"/>
      <c r="E29" s="307"/>
      <c r="F29" s="121"/>
      <c r="G29" s="122"/>
      <c r="H29" s="155"/>
      <c r="I29" s="153"/>
      <c r="J29" s="115"/>
    </row>
    <row r="30" spans="1:12" s="123" customFormat="1">
      <c r="A30" s="112">
        <f>IF(LEN(B30)=0," ",COUNTA($B$8:B30))</f>
        <v>14</v>
      </c>
      <c r="B30" s="72">
        <v>1</v>
      </c>
      <c r="C30" s="4" t="s">
        <v>341</v>
      </c>
      <c r="D30" s="72" t="s">
        <v>5</v>
      </c>
      <c r="E30" s="308">
        <v>1</v>
      </c>
      <c r="F30" s="4">
        <v>1</v>
      </c>
      <c r="G30" s="72" t="s">
        <v>596</v>
      </c>
      <c r="H30" s="152">
        <f ca="1">Eval(G30)</f>
        <v>117.5</v>
      </c>
      <c r="I30" s="153">
        <f ca="1">ROUND(E30*F30*H30,3)</f>
        <v>117.5</v>
      </c>
      <c r="J30" s="115"/>
    </row>
    <row r="31" spans="1:12" s="123" customFormat="1">
      <c r="A31" s="112">
        <f>IF(LEN(B31)=0," ",COUNTA($B$8:B31))</f>
        <v>15</v>
      </c>
      <c r="B31" s="72">
        <v>1</v>
      </c>
      <c r="C31" s="4" t="s">
        <v>434</v>
      </c>
      <c r="D31" s="72" t="s">
        <v>5</v>
      </c>
      <c r="E31" s="308">
        <v>1</v>
      </c>
      <c r="F31" s="4">
        <v>1</v>
      </c>
      <c r="G31" s="72" t="s">
        <v>596</v>
      </c>
      <c r="H31" s="152">
        <f ca="1">Eval(G31)</f>
        <v>117.5</v>
      </c>
      <c r="I31" s="153">
        <f ca="1">ROUND(E31*F31*H31,3)</f>
        <v>117.5</v>
      </c>
      <c r="J31" s="115"/>
    </row>
    <row r="32" spans="1:12" s="123" customFormat="1">
      <c r="A32" s="118" t="s">
        <v>465</v>
      </c>
      <c r="B32" s="307"/>
      <c r="C32" s="7" t="s">
        <v>509</v>
      </c>
      <c r="D32" s="307"/>
      <c r="E32" s="307"/>
      <c r="F32" s="124"/>
      <c r="G32" s="122"/>
      <c r="H32" s="155"/>
      <c r="I32" s="153"/>
      <c r="J32" s="115"/>
    </row>
    <row r="33" spans="1:10" s="123" customFormat="1">
      <c r="A33" s="112">
        <f>IF(LEN(B33)=0," ",COUNTA($B$8:B33))</f>
        <v>16</v>
      </c>
      <c r="B33" s="125">
        <v>1</v>
      </c>
      <c r="C33" s="117" t="s">
        <v>202</v>
      </c>
      <c r="D33" s="72" t="s">
        <v>5</v>
      </c>
      <c r="E33" s="72"/>
      <c r="F33" s="126">
        <f>CỌC!H31</f>
        <v>541</v>
      </c>
      <c r="G33" s="72" t="s">
        <v>397</v>
      </c>
      <c r="H33" s="136">
        <f ca="1">CỌC!G31</f>
        <v>4.3849999999999989</v>
      </c>
      <c r="I33" s="153">
        <f ca="1">CỌC!I31</f>
        <v>2372.2849999999999</v>
      </c>
      <c r="J33" s="115"/>
    </row>
    <row r="34" spans="1:10" s="123" customFormat="1">
      <c r="A34" s="112">
        <f>IF(LEN(B34)=0," ",COUNTA($B$8:B34))</f>
        <v>17</v>
      </c>
      <c r="B34" s="125">
        <v>1</v>
      </c>
      <c r="C34" s="117" t="s">
        <v>203</v>
      </c>
      <c r="D34" s="72" t="s">
        <v>4</v>
      </c>
      <c r="E34" s="72"/>
      <c r="F34" s="126">
        <f>F33</f>
        <v>541</v>
      </c>
      <c r="G34" s="72" t="s">
        <v>397</v>
      </c>
      <c r="H34" s="136">
        <f ca="1">CỌC!G32</f>
        <v>0.25837499999999997</v>
      </c>
      <c r="I34" s="153">
        <f ca="1">CỌC!I32</f>
        <v>139.78100000000001</v>
      </c>
      <c r="J34" s="115"/>
    </row>
    <row r="35" spans="1:10" s="123" customFormat="1">
      <c r="A35" s="112">
        <f>IF(LEN(B35)=0," ",COUNTA($B$8:B35))</f>
        <v>18</v>
      </c>
      <c r="B35" s="125">
        <v>1</v>
      </c>
      <c r="C35" s="117" t="s">
        <v>205</v>
      </c>
      <c r="D35" s="72" t="s">
        <v>10</v>
      </c>
      <c r="E35" s="72"/>
      <c r="F35" s="126">
        <f>F34</f>
        <v>541</v>
      </c>
      <c r="G35" s="129" t="s">
        <v>345</v>
      </c>
      <c r="H35" s="136">
        <f>CỌC!G33</f>
        <v>9.7180000000000002E-2</v>
      </c>
      <c r="I35" s="153">
        <f>ROUND(CỌC!I33,3)</f>
        <v>52.573999999999998</v>
      </c>
      <c r="J35" s="115"/>
    </row>
    <row r="36" spans="1:10" s="123" customFormat="1">
      <c r="A36" s="112">
        <f>IF(LEN(B36)=0," ",COUNTA($B$8:B36))</f>
        <v>19</v>
      </c>
      <c r="B36" s="125">
        <v>1</v>
      </c>
      <c r="C36" s="117" t="s">
        <v>206</v>
      </c>
      <c r="D36" s="72" t="s">
        <v>10</v>
      </c>
      <c r="E36" s="72"/>
      <c r="F36" s="126">
        <f>F35</f>
        <v>541</v>
      </c>
      <c r="G36" s="129" t="s">
        <v>345</v>
      </c>
      <c r="H36" s="136">
        <f>CỌC!G34</f>
        <v>5.067E-2</v>
      </c>
      <c r="I36" s="153">
        <f>CỌC!I34</f>
        <v>27.411999999999999</v>
      </c>
      <c r="J36" s="115"/>
    </row>
    <row r="37" spans="1:10" s="123" customFormat="1">
      <c r="A37" s="112">
        <f>IF(LEN(B37)=0," ",COUNTA($B$8:B37))</f>
        <v>20</v>
      </c>
      <c r="B37" s="125">
        <v>1</v>
      </c>
      <c r="C37" s="117" t="s">
        <v>207</v>
      </c>
      <c r="D37" s="72" t="s">
        <v>10</v>
      </c>
      <c r="E37" s="72"/>
      <c r="F37" s="126">
        <f>F36</f>
        <v>541</v>
      </c>
      <c r="G37" s="129" t="s">
        <v>345</v>
      </c>
      <c r="H37" s="136">
        <f>CỌC!G35</f>
        <v>0.72392999999999996</v>
      </c>
      <c r="I37" s="153">
        <f>CỌC!I35</f>
        <v>391.64600000000002</v>
      </c>
      <c r="J37" s="115"/>
    </row>
    <row r="38" spans="1:10" s="123" customFormat="1">
      <c r="A38" s="112">
        <f>IF(LEN(B38)=0," ",COUNTA($B$8:B38))</f>
        <v>21</v>
      </c>
      <c r="B38" s="125">
        <v>1</v>
      </c>
      <c r="C38" s="117" t="s">
        <v>372</v>
      </c>
      <c r="D38" s="72" t="s">
        <v>10</v>
      </c>
      <c r="E38" s="72"/>
      <c r="F38" s="126">
        <f>F37</f>
        <v>541</v>
      </c>
      <c r="G38" s="129" t="s">
        <v>345</v>
      </c>
      <c r="H38" s="136">
        <f>CỌC!G36</f>
        <v>4.8829999999999998E-2</v>
      </c>
      <c r="I38" s="153">
        <f>CỌC!I36</f>
        <v>26.417000000000002</v>
      </c>
      <c r="J38" s="115"/>
    </row>
    <row r="39" spans="1:10" s="123" customFormat="1">
      <c r="A39" s="112">
        <f>IF(LEN(B39)=0," ",COUNTA($B$8:B39))</f>
        <v>22</v>
      </c>
      <c r="B39" s="125">
        <v>1</v>
      </c>
      <c r="C39" s="117" t="s">
        <v>354</v>
      </c>
      <c r="D39" s="72" t="s">
        <v>10</v>
      </c>
      <c r="E39" s="72"/>
      <c r="F39" s="127">
        <f>F38*2</f>
        <v>1082</v>
      </c>
      <c r="G39" s="129" t="s">
        <v>345</v>
      </c>
      <c r="H39" s="136">
        <f>CỌC!G37</f>
        <v>0.21629000000000001</v>
      </c>
      <c r="I39" s="153">
        <f>CỌC!I37</f>
        <v>234.02600000000001</v>
      </c>
      <c r="J39" s="115"/>
    </row>
    <row r="40" spans="1:10" s="123" customFormat="1">
      <c r="A40" s="112">
        <f>IF(LEN(B40)=0," ",COUNTA($B$8:B40))</f>
        <v>23</v>
      </c>
      <c r="B40" s="125">
        <v>1</v>
      </c>
      <c r="C40" s="117" t="s">
        <v>355</v>
      </c>
      <c r="D40" s="72" t="s">
        <v>10</v>
      </c>
      <c r="E40" s="72"/>
      <c r="F40" s="127">
        <f>F39</f>
        <v>1082</v>
      </c>
      <c r="G40" s="129" t="s">
        <v>345</v>
      </c>
      <c r="H40" s="136">
        <f>CỌC!G38</f>
        <v>1.507E-2</v>
      </c>
      <c r="I40" s="153">
        <f>CỌC!I38</f>
        <v>16.306000000000001</v>
      </c>
      <c r="J40" s="115"/>
    </row>
    <row r="41" spans="1:10" s="123" customFormat="1">
      <c r="A41" s="112">
        <f>IF(LEN(B41)=0," ",COUNTA($B$8:B41))</f>
        <v>24</v>
      </c>
      <c r="B41" s="125">
        <v>1</v>
      </c>
      <c r="C41" s="117" t="s">
        <v>209</v>
      </c>
      <c r="D41" s="72" t="s">
        <v>6</v>
      </c>
      <c r="E41" s="72"/>
      <c r="F41" s="126">
        <f>CỌC!H39</f>
        <v>188</v>
      </c>
      <c r="G41" s="72" t="s">
        <v>397</v>
      </c>
      <c r="H41" s="136">
        <f>CỌC!G39</f>
        <v>0.39</v>
      </c>
      <c r="I41" s="153">
        <f>CỌC!I39</f>
        <v>73.319999999999993</v>
      </c>
      <c r="J41" s="115"/>
    </row>
    <row r="42" spans="1:10" s="123" customFormat="1">
      <c r="A42" s="112">
        <f>IF(LEN(B42)=0," ",COUNTA($B$8:B42))</f>
        <v>25</v>
      </c>
      <c r="B42" s="125">
        <v>1</v>
      </c>
      <c r="C42" s="4" t="s">
        <v>210</v>
      </c>
      <c r="D42" s="72" t="s">
        <v>6</v>
      </c>
      <c r="E42" s="72"/>
      <c r="F42" s="126">
        <f>CỌC!H40</f>
        <v>353</v>
      </c>
      <c r="G42" s="72" t="s">
        <v>397</v>
      </c>
      <c r="H42" s="136">
        <f>CỌC!G40</f>
        <v>0.39</v>
      </c>
      <c r="I42" s="153">
        <f>CỌC!I40</f>
        <v>137.66999999999999</v>
      </c>
      <c r="J42" s="115"/>
    </row>
    <row r="43" spans="1:10" s="123" customFormat="1">
      <c r="A43" s="112">
        <f>IF(LEN(B43)=0," ",COUNTA($B$8:B43))</f>
        <v>26</v>
      </c>
      <c r="B43" s="125">
        <v>1</v>
      </c>
      <c r="C43" s="4" t="s">
        <v>597</v>
      </c>
      <c r="D43" s="72" t="s">
        <v>308</v>
      </c>
      <c r="E43" s="308"/>
      <c r="F43" s="128"/>
      <c r="G43" s="129" t="s">
        <v>345</v>
      </c>
      <c r="H43" s="152"/>
      <c r="I43" s="153">
        <f>F40</f>
        <v>1082</v>
      </c>
      <c r="J43" s="115"/>
    </row>
    <row r="44" spans="1:10" s="123" customFormat="1">
      <c r="A44" s="112">
        <f>IF(LEN(B44)=0," ",COUNTA($B$8:B44))</f>
        <v>27</v>
      </c>
      <c r="B44" s="72">
        <v>1</v>
      </c>
      <c r="C44" s="4" t="s">
        <v>598</v>
      </c>
      <c r="D44" s="72" t="s">
        <v>5</v>
      </c>
      <c r="E44" s="72"/>
      <c r="F44" s="126">
        <f>F36</f>
        <v>541</v>
      </c>
      <c r="G44" s="72" t="s">
        <v>397</v>
      </c>
      <c r="H44" s="136">
        <f ca="1">CỌC!G41</f>
        <v>6.737499999999999E-2</v>
      </c>
      <c r="I44" s="153">
        <f ca="1">CỌC!I41</f>
        <v>36.450000000000003</v>
      </c>
      <c r="J44" s="115"/>
    </row>
    <row r="45" spans="1:10" s="123" customFormat="1" ht="26.4">
      <c r="A45" s="112">
        <f>IF(LEN(B45)=0," ",COUNTA($B$8:B45))</f>
        <v>28</v>
      </c>
      <c r="B45" s="72">
        <v>1</v>
      </c>
      <c r="C45" s="143" t="s">
        <v>599</v>
      </c>
      <c r="D45" s="72" t="s">
        <v>7</v>
      </c>
      <c r="E45" s="72"/>
      <c r="F45" s="126"/>
      <c r="G45" s="72"/>
      <c r="H45" s="136"/>
      <c r="I45" s="153">
        <f ca="1">I44/100</f>
        <v>0.36450000000000005</v>
      </c>
      <c r="J45" s="115"/>
    </row>
    <row r="46" spans="1:10" s="123" customFormat="1" ht="39.6">
      <c r="A46" s="112">
        <f>IF(LEN(B46)=0," ",COUNTA($B$8:B46))</f>
        <v>29</v>
      </c>
      <c r="B46" s="72">
        <v>1</v>
      </c>
      <c r="C46" s="143" t="s">
        <v>600</v>
      </c>
      <c r="D46" s="72" t="s">
        <v>7</v>
      </c>
      <c r="E46" s="72"/>
      <c r="F46" s="126"/>
      <c r="G46" s="72"/>
      <c r="H46" s="136"/>
      <c r="I46" s="153">
        <f ca="1">I45</f>
        <v>0.36450000000000005</v>
      </c>
      <c r="J46" s="115"/>
    </row>
    <row r="47" spans="1:10" s="123" customFormat="1" ht="26.4">
      <c r="A47" s="112">
        <f>IF(LEN(B47)=0," ",COUNTA($B$8:B47))</f>
        <v>30</v>
      </c>
      <c r="B47" s="72">
        <v>1</v>
      </c>
      <c r="C47" s="143" t="s">
        <v>601</v>
      </c>
      <c r="D47" s="72" t="s">
        <v>7</v>
      </c>
      <c r="E47" s="72"/>
      <c r="F47" s="126"/>
      <c r="G47" s="72"/>
      <c r="H47" s="136"/>
      <c r="I47" s="153">
        <f ca="1">I45</f>
        <v>0.36450000000000005</v>
      </c>
      <c r="J47" s="115"/>
    </row>
    <row r="48" spans="1:10" s="123" customFormat="1">
      <c r="A48" s="112">
        <f>IF(LEN(B48)=0," ",COUNTA($B$8:B48))</f>
        <v>31</v>
      </c>
      <c r="B48" s="125">
        <v>1</v>
      </c>
      <c r="C48" s="4" t="s">
        <v>602</v>
      </c>
      <c r="D48" s="72" t="s">
        <v>10</v>
      </c>
      <c r="E48" s="72"/>
      <c r="F48" s="126">
        <f>F33</f>
        <v>541</v>
      </c>
      <c r="G48" s="72" t="s">
        <v>397</v>
      </c>
      <c r="H48" s="136">
        <f ca="1">CỌC!G42</f>
        <v>12.114469999999997</v>
      </c>
      <c r="I48" s="153">
        <f ca="1">CỌC!I42</f>
        <v>6553.9279999999999</v>
      </c>
      <c r="J48" s="115"/>
    </row>
    <row r="49" spans="1:10" s="123" customFormat="1">
      <c r="A49" s="112">
        <f>IF(LEN(B49)=0," ",COUNTA($B$8:B49))</f>
        <v>32</v>
      </c>
      <c r="B49" s="125">
        <v>1</v>
      </c>
      <c r="C49" s="4" t="s">
        <v>603</v>
      </c>
      <c r="D49" s="72" t="s">
        <v>10</v>
      </c>
      <c r="E49" s="72"/>
      <c r="F49" s="126"/>
      <c r="G49" s="72"/>
      <c r="H49" s="136"/>
      <c r="I49" s="153">
        <f ca="1">I48</f>
        <v>6553.9279999999999</v>
      </c>
      <c r="J49" s="115"/>
    </row>
    <row r="50" spans="1:10" s="123" customFormat="1">
      <c r="A50" s="112">
        <f>IF(LEN(B50)=0," ",COUNTA($B$8:B50))</f>
        <v>33</v>
      </c>
      <c r="B50" s="125">
        <v>1</v>
      </c>
      <c r="C50" s="4" t="s">
        <v>280</v>
      </c>
      <c r="D50" s="72" t="s">
        <v>0</v>
      </c>
      <c r="E50" s="72"/>
      <c r="F50" s="127">
        <f>F38*2</f>
        <v>1082</v>
      </c>
      <c r="G50" s="72" t="s">
        <v>397</v>
      </c>
      <c r="H50" s="136">
        <f ca="1">CỌC!G43</f>
        <v>1.19</v>
      </c>
      <c r="I50" s="153">
        <f ca="1">CỌC!I43</f>
        <v>1287.58</v>
      </c>
      <c r="J50" s="115"/>
    </row>
    <row r="51" spans="1:10" s="123" customFormat="1">
      <c r="A51" s="112">
        <f>IF(LEN(B51)=0," ",COUNTA($B$8:B51))</f>
        <v>34</v>
      </c>
      <c r="B51" s="125">
        <v>1</v>
      </c>
      <c r="C51" s="4" t="s">
        <v>388</v>
      </c>
      <c r="D51" s="72" t="s">
        <v>7</v>
      </c>
      <c r="E51" s="72"/>
      <c r="F51" s="127"/>
      <c r="G51" s="119"/>
      <c r="H51" s="136"/>
      <c r="I51" s="153">
        <f ca="1">I33/100</f>
        <v>23.722849999999998</v>
      </c>
      <c r="J51" s="115"/>
    </row>
    <row r="52" spans="1:10" s="123" customFormat="1">
      <c r="A52" s="118" t="s">
        <v>465</v>
      </c>
      <c r="B52" s="307"/>
      <c r="C52" s="7" t="s">
        <v>510</v>
      </c>
      <c r="D52" s="307" t="s">
        <v>2</v>
      </c>
      <c r="E52" s="307"/>
      <c r="F52" s="124"/>
      <c r="G52" s="122"/>
      <c r="H52" s="155"/>
      <c r="I52" s="153"/>
      <c r="J52" s="115"/>
    </row>
    <row r="53" spans="1:10" s="123" customFormat="1">
      <c r="A53" s="112">
        <f>IF(LEN(B53)=0," ",COUNTA($B$8:B53))</f>
        <v>35</v>
      </c>
      <c r="B53" s="72">
        <v>1</v>
      </c>
      <c r="C53" s="4" t="s">
        <v>202</v>
      </c>
      <c r="D53" s="72" t="s">
        <v>5</v>
      </c>
      <c r="E53" s="72"/>
      <c r="F53" s="126">
        <v>6</v>
      </c>
      <c r="G53" s="72" t="s">
        <v>397</v>
      </c>
      <c r="H53" s="136">
        <f ca="1">CỌC!G45</f>
        <v>4.629999999999999</v>
      </c>
      <c r="I53" s="153">
        <f ca="1">CỌC!I45</f>
        <v>27.78</v>
      </c>
      <c r="J53" s="115"/>
    </row>
    <row r="54" spans="1:10" s="123" customFormat="1">
      <c r="A54" s="112">
        <f>IF(LEN(B54)=0," ",COUNTA($B$8:B54))</f>
        <v>36</v>
      </c>
      <c r="B54" s="72">
        <v>1</v>
      </c>
      <c r="C54" s="4" t="s">
        <v>203</v>
      </c>
      <c r="D54" s="72" t="s">
        <v>4</v>
      </c>
      <c r="E54" s="72"/>
      <c r="F54" s="126">
        <f>F53</f>
        <v>6</v>
      </c>
      <c r="G54" s="72" t="s">
        <v>397</v>
      </c>
      <c r="H54" s="136">
        <f ca="1">CỌC!G46</f>
        <v>0.296875</v>
      </c>
      <c r="I54" s="153">
        <f ca="1">CỌC!I46</f>
        <v>1.7809999999999999</v>
      </c>
      <c r="J54" s="115"/>
    </row>
    <row r="55" spans="1:10" s="123" customFormat="1">
      <c r="A55" s="112">
        <f>IF(LEN(B55)=0," ",COUNTA($B$8:B55))</f>
        <v>37</v>
      </c>
      <c r="B55" s="72">
        <v>1</v>
      </c>
      <c r="C55" s="4" t="s">
        <v>205</v>
      </c>
      <c r="D55" s="72" t="s">
        <v>10</v>
      </c>
      <c r="E55" s="72"/>
      <c r="F55" s="126">
        <f>F54</f>
        <v>6</v>
      </c>
      <c r="G55" s="129" t="s">
        <v>345</v>
      </c>
      <c r="H55" s="136">
        <f>CỌC!G47</f>
        <v>9.9510000000000001E-2</v>
      </c>
      <c r="I55" s="153">
        <f>CỌC!I47</f>
        <v>0.59699999999999998</v>
      </c>
      <c r="J55" s="115"/>
    </row>
    <row r="56" spans="1:10" s="123" customFormat="1">
      <c r="A56" s="112">
        <f>IF(LEN(B56)=0," ",COUNTA($B$8:B56))</f>
        <v>38</v>
      </c>
      <c r="B56" s="72">
        <v>1</v>
      </c>
      <c r="C56" s="4" t="s">
        <v>206</v>
      </c>
      <c r="D56" s="72" t="s">
        <v>10</v>
      </c>
      <c r="E56" s="72"/>
      <c r="F56" s="126">
        <f>F55</f>
        <v>6</v>
      </c>
      <c r="G56" s="129" t="s">
        <v>345</v>
      </c>
      <c r="H56" s="136">
        <f>CỌC!G48</f>
        <v>5.067E-2</v>
      </c>
      <c r="I56" s="153">
        <f>CỌC!I48</f>
        <v>0.30399999999999999</v>
      </c>
      <c r="J56" s="115"/>
    </row>
    <row r="57" spans="1:10" s="123" customFormat="1">
      <c r="A57" s="112">
        <f>IF(LEN(B57)=0," ",COUNTA($B$8:B57))</f>
        <v>39</v>
      </c>
      <c r="B57" s="72">
        <v>1</v>
      </c>
      <c r="C57" s="4" t="s">
        <v>207</v>
      </c>
      <c r="D57" s="72" t="s">
        <v>10</v>
      </c>
      <c r="E57" s="72"/>
      <c r="F57" s="126">
        <f>F56</f>
        <v>6</v>
      </c>
      <c r="G57" s="129" t="s">
        <v>345</v>
      </c>
      <c r="H57" s="136">
        <f>CỌC!G49</f>
        <v>0.77915000000000001</v>
      </c>
      <c r="I57" s="153">
        <f>CỌC!I49</f>
        <v>4.6749999999999998</v>
      </c>
      <c r="J57" s="115"/>
    </row>
    <row r="58" spans="1:10" s="123" customFormat="1">
      <c r="A58" s="112">
        <f>IF(LEN(B58)=0," ",COUNTA($B$8:B58))</f>
        <v>40</v>
      </c>
      <c r="B58" s="125">
        <v>1</v>
      </c>
      <c r="C58" s="117" t="s">
        <v>372</v>
      </c>
      <c r="D58" s="72" t="s">
        <v>10</v>
      </c>
      <c r="E58" s="72"/>
      <c r="F58" s="126">
        <f>F57</f>
        <v>6</v>
      </c>
      <c r="G58" s="129" t="s">
        <v>345</v>
      </c>
      <c r="H58" s="136">
        <f>CỌC!G50</f>
        <v>4.8829999999999998E-2</v>
      </c>
      <c r="I58" s="153">
        <f>CỌC!I50</f>
        <v>0.29299999999999998</v>
      </c>
      <c r="J58" s="115"/>
    </row>
    <row r="59" spans="1:10" s="123" customFormat="1">
      <c r="A59" s="112">
        <f>IF(LEN(B59)=0," ",COUNTA($B$8:B59))</f>
        <v>41</v>
      </c>
      <c r="B59" s="72">
        <v>1</v>
      </c>
      <c r="C59" s="4" t="s">
        <v>208</v>
      </c>
      <c r="D59" s="72" t="s">
        <v>10</v>
      </c>
      <c r="E59" s="72"/>
      <c r="F59" s="127">
        <f>F53*2</f>
        <v>12</v>
      </c>
      <c r="G59" s="129" t="s">
        <v>345</v>
      </c>
      <c r="H59" s="136">
        <f>CỌC!G51</f>
        <v>0.21629000000000001</v>
      </c>
      <c r="I59" s="153">
        <f>CỌC!I51</f>
        <v>2.5950000000000002</v>
      </c>
      <c r="J59" s="115"/>
    </row>
    <row r="60" spans="1:10" s="123" customFormat="1">
      <c r="A60" s="112">
        <f>IF(LEN(B60)=0," ",COUNTA($B$8:B60))</f>
        <v>42</v>
      </c>
      <c r="B60" s="72">
        <v>1</v>
      </c>
      <c r="C60" s="4" t="s">
        <v>355</v>
      </c>
      <c r="D60" s="72" t="s">
        <v>10</v>
      </c>
      <c r="E60" s="72"/>
      <c r="F60" s="127">
        <f>F59</f>
        <v>12</v>
      </c>
      <c r="G60" s="129" t="s">
        <v>345</v>
      </c>
      <c r="H60" s="136">
        <f>CỌC!G52</f>
        <v>1.507E-2</v>
      </c>
      <c r="I60" s="153">
        <f>CỌC!I52</f>
        <v>0.18099999999999999</v>
      </c>
      <c r="J60" s="115"/>
    </row>
    <row r="61" spans="1:10" s="123" customFormat="1">
      <c r="A61" s="112">
        <f>IF(LEN(B61)=0," ",COUNTA($B$8:B61))</f>
        <v>43</v>
      </c>
      <c r="B61" s="72">
        <v>1</v>
      </c>
      <c r="C61" s="4" t="s">
        <v>209</v>
      </c>
      <c r="D61" s="72" t="s">
        <v>6</v>
      </c>
      <c r="E61" s="72"/>
      <c r="F61" s="126">
        <f>F58</f>
        <v>6</v>
      </c>
      <c r="G61" s="72" t="s">
        <v>397</v>
      </c>
      <c r="H61" s="136">
        <f>CỌC!G53</f>
        <v>0.41000000000000003</v>
      </c>
      <c r="I61" s="153">
        <f>CỌC!I53</f>
        <v>2.46</v>
      </c>
      <c r="J61" s="115"/>
    </row>
    <row r="62" spans="1:10" s="123" customFormat="1">
      <c r="A62" s="112">
        <f>IF(LEN(B62)=0," ",COUNTA($B$8:B62))</f>
        <v>44</v>
      </c>
      <c r="B62" s="72">
        <v>1</v>
      </c>
      <c r="C62" s="4" t="s">
        <v>597</v>
      </c>
      <c r="D62" s="72" t="s">
        <v>308</v>
      </c>
      <c r="E62" s="308"/>
      <c r="F62" s="322"/>
      <c r="G62" s="129" t="s">
        <v>345</v>
      </c>
      <c r="H62" s="152"/>
      <c r="I62" s="153">
        <f>F60</f>
        <v>12</v>
      </c>
      <c r="J62" s="115"/>
    </row>
    <row r="63" spans="1:10" s="123" customFormat="1">
      <c r="A63" s="112">
        <f>IF(LEN(B63)=0," ",COUNTA($B$8:B63))</f>
        <v>45</v>
      </c>
      <c r="B63" s="72">
        <v>1</v>
      </c>
      <c r="C63" s="4" t="s">
        <v>598</v>
      </c>
      <c r="D63" s="72" t="s">
        <v>5</v>
      </c>
      <c r="E63" s="72"/>
      <c r="F63" s="126">
        <f>F61</f>
        <v>6</v>
      </c>
      <c r="G63" s="72" t="s">
        <v>397</v>
      </c>
      <c r="H63" s="136">
        <f ca="1">CỌC!G54</f>
        <v>6.737499999999999E-2</v>
      </c>
      <c r="I63" s="153">
        <f ca="1">CỌC!I54</f>
        <v>0.40400000000000003</v>
      </c>
      <c r="J63" s="115"/>
    </row>
    <row r="64" spans="1:10" s="123" customFormat="1" ht="26.4">
      <c r="A64" s="112">
        <f>IF(LEN(B64)=0," ",COUNTA($B$8:B64))</f>
        <v>46</v>
      </c>
      <c r="B64" s="72">
        <v>1</v>
      </c>
      <c r="C64" s="143" t="s">
        <v>599</v>
      </c>
      <c r="D64" s="72" t="s">
        <v>7</v>
      </c>
      <c r="E64" s="72"/>
      <c r="F64" s="126"/>
      <c r="G64" s="72"/>
      <c r="H64" s="136"/>
      <c r="I64" s="153">
        <f ca="1">I63/100</f>
        <v>4.0400000000000002E-3</v>
      </c>
      <c r="J64" s="115"/>
    </row>
    <row r="65" spans="1:10" s="123" customFormat="1" ht="39.6">
      <c r="A65" s="112">
        <f>IF(LEN(B65)=0," ",COUNTA($B$8:B65))</f>
        <v>47</v>
      </c>
      <c r="B65" s="72">
        <v>1</v>
      </c>
      <c r="C65" s="143" t="s">
        <v>600</v>
      </c>
      <c r="D65" s="72" t="s">
        <v>7</v>
      </c>
      <c r="E65" s="72"/>
      <c r="F65" s="126"/>
      <c r="G65" s="72"/>
      <c r="H65" s="136"/>
      <c r="I65" s="153">
        <f ca="1">I64</f>
        <v>4.0400000000000002E-3</v>
      </c>
      <c r="J65" s="115"/>
    </row>
    <row r="66" spans="1:10" s="123" customFormat="1" ht="26.4">
      <c r="A66" s="112">
        <f>IF(LEN(B66)=0," ",COUNTA($B$8:B66))</f>
        <v>48</v>
      </c>
      <c r="B66" s="72">
        <v>1</v>
      </c>
      <c r="C66" s="143" t="s">
        <v>601</v>
      </c>
      <c r="D66" s="72" t="s">
        <v>7</v>
      </c>
      <c r="E66" s="72"/>
      <c r="F66" s="126"/>
      <c r="G66" s="72"/>
      <c r="H66" s="136"/>
      <c r="I66" s="153">
        <f ca="1">I64</f>
        <v>4.0400000000000002E-3</v>
      </c>
      <c r="J66" s="115"/>
    </row>
    <row r="67" spans="1:10" s="123" customFormat="1">
      <c r="A67" s="112">
        <f>IF(LEN(B67)=0," ",COUNTA($B$8:B67))</f>
        <v>49</v>
      </c>
      <c r="B67" s="72">
        <v>1</v>
      </c>
      <c r="C67" s="143" t="s">
        <v>602</v>
      </c>
      <c r="D67" s="72" t="s">
        <v>10</v>
      </c>
      <c r="E67" s="72"/>
      <c r="F67" s="126">
        <f>F63</f>
        <v>6</v>
      </c>
      <c r="G67" s="72" t="s">
        <v>397</v>
      </c>
      <c r="H67" s="136">
        <f ca="1">CỌC!G55</f>
        <v>12.784519999999999</v>
      </c>
      <c r="I67" s="153">
        <f ca="1">CỌC!I55</f>
        <v>76.706999999999994</v>
      </c>
      <c r="J67" s="115"/>
    </row>
    <row r="68" spans="1:10" s="123" customFormat="1" ht="26.4">
      <c r="A68" s="112">
        <f>IF(LEN(B68)=0," ",COUNTA($B$8:B68))</f>
        <v>50</v>
      </c>
      <c r="B68" s="72">
        <v>1</v>
      </c>
      <c r="C68" s="143" t="s">
        <v>603</v>
      </c>
      <c r="D68" s="72" t="s">
        <v>10</v>
      </c>
      <c r="E68" s="72"/>
      <c r="F68" s="126"/>
      <c r="G68" s="72"/>
      <c r="H68" s="136"/>
      <c r="I68" s="153">
        <f ca="1">I67</f>
        <v>76.706999999999994</v>
      </c>
      <c r="J68" s="115"/>
    </row>
    <row r="69" spans="1:10" s="123" customFormat="1">
      <c r="A69" s="112">
        <f>IF(LEN(B69)=0," ",COUNTA($B$8:B69))</f>
        <v>51</v>
      </c>
      <c r="B69" s="125">
        <v>1</v>
      </c>
      <c r="C69" s="4" t="s">
        <v>280</v>
      </c>
      <c r="D69" s="72" t="s">
        <v>0</v>
      </c>
      <c r="E69" s="72"/>
      <c r="F69" s="127">
        <f>F59</f>
        <v>12</v>
      </c>
      <c r="G69" s="72" t="s">
        <v>397</v>
      </c>
      <c r="H69" s="136">
        <f ca="1">CỌC!G56</f>
        <v>1.19</v>
      </c>
      <c r="I69" s="153">
        <f ca="1">CỌC!I56</f>
        <v>14.28</v>
      </c>
      <c r="J69" s="115"/>
    </row>
    <row r="70" spans="1:10" s="123" customFormat="1">
      <c r="A70" s="112">
        <f>IF(LEN(B70)=0," ",COUNTA($B$8:B70))</f>
        <v>52</v>
      </c>
      <c r="B70" s="125">
        <v>1</v>
      </c>
      <c r="C70" s="4" t="s">
        <v>388</v>
      </c>
      <c r="D70" s="72" t="s">
        <v>7</v>
      </c>
      <c r="E70" s="72"/>
      <c r="F70" s="127"/>
      <c r="G70" s="119"/>
      <c r="H70" s="136"/>
      <c r="I70" s="153">
        <f ca="1">I53/100</f>
        <v>0.27779999999999999</v>
      </c>
      <c r="J70" s="115"/>
    </row>
    <row r="71" spans="1:10" s="123" customFormat="1">
      <c r="A71" s="118" t="s">
        <v>465</v>
      </c>
      <c r="B71" s="307"/>
      <c r="C71" s="7" t="s">
        <v>268</v>
      </c>
      <c r="D71" s="307"/>
      <c r="E71" s="307"/>
      <c r="F71" s="307"/>
      <c r="G71" s="122"/>
      <c r="H71" s="155"/>
      <c r="I71" s="153"/>
      <c r="J71" s="115"/>
    </row>
    <row r="72" spans="1:10" s="110" customFormat="1">
      <c r="A72" s="112">
        <f>IF(LEN(B72)=0," ",COUNTA($B$8:B72))</f>
        <v>53</v>
      </c>
      <c r="B72" s="307">
        <v>1</v>
      </c>
      <c r="C72" s="4" t="s">
        <v>33</v>
      </c>
      <c r="D72" s="72" t="s">
        <v>5</v>
      </c>
      <c r="E72" s="72"/>
      <c r="F72" s="307"/>
      <c r="G72" s="129" t="s">
        <v>345</v>
      </c>
      <c r="H72" s="155">
        <f ca="1">TƯƠNG!D382</f>
        <v>206.46</v>
      </c>
      <c r="I72" s="156">
        <f ca="1">H72</f>
        <v>206.46</v>
      </c>
      <c r="J72" s="115"/>
    </row>
    <row r="73" spans="1:10" s="110" customFormat="1">
      <c r="A73" s="112">
        <f>IF(LEN(B73)=0," ",COUNTA($B$8:B73))</f>
        <v>54</v>
      </c>
      <c r="B73" s="307">
        <v>1</v>
      </c>
      <c r="C73" s="4" t="s">
        <v>437</v>
      </c>
      <c r="D73" s="72" t="s">
        <v>5</v>
      </c>
      <c r="E73" s="72"/>
      <c r="F73" s="307"/>
      <c r="G73" s="129" t="s">
        <v>345</v>
      </c>
      <c r="H73" s="155">
        <f ca="1">TƯƠNG!D383</f>
        <v>1011.825</v>
      </c>
      <c r="I73" s="156">
        <f t="shared" ref="I73:I88" ca="1" si="2">H73</f>
        <v>1011.825</v>
      </c>
      <c r="J73" s="115"/>
    </row>
    <row r="74" spans="1:10" s="110" customFormat="1">
      <c r="A74" s="112">
        <f>IF(LEN(B74)=0," ",COUNTA($B$8:B74))</f>
        <v>55</v>
      </c>
      <c r="B74" s="307">
        <v>1</v>
      </c>
      <c r="C74" s="4" t="s">
        <v>438</v>
      </c>
      <c r="D74" s="72" t="s">
        <v>5</v>
      </c>
      <c r="E74" s="72"/>
      <c r="F74" s="307"/>
      <c r="G74" s="129" t="s">
        <v>345</v>
      </c>
      <c r="H74" s="155">
        <f ca="1">TƯƠNG!D384</f>
        <v>524.01499999999999</v>
      </c>
      <c r="I74" s="156">
        <f t="shared" ca="1" si="2"/>
        <v>524.01499999999999</v>
      </c>
      <c r="J74" s="115"/>
    </row>
    <row r="75" spans="1:10" s="110" customFormat="1">
      <c r="A75" s="112">
        <f>IF(LEN(B75)=0," ",COUNTA($B$8:B75))</f>
        <v>56</v>
      </c>
      <c r="B75" s="307">
        <v>1</v>
      </c>
      <c r="C75" s="4" t="s">
        <v>439</v>
      </c>
      <c r="D75" s="72" t="s">
        <v>5</v>
      </c>
      <c r="E75" s="72"/>
      <c r="F75" s="307"/>
      <c r="G75" s="129" t="s">
        <v>345</v>
      </c>
      <c r="H75" s="155">
        <f ca="1">TƯƠNG!D385</f>
        <v>50.48</v>
      </c>
      <c r="I75" s="156">
        <f t="shared" ca="1" si="2"/>
        <v>50.48</v>
      </c>
      <c r="J75" s="115"/>
    </row>
    <row r="76" spans="1:10" s="110" customFormat="1">
      <c r="A76" s="112">
        <f>IF(LEN(B76)=0," ",COUNTA($B$8:B76))</f>
        <v>57</v>
      </c>
      <c r="B76" s="307">
        <v>1</v>
      </c>
      <c r="C76" s="4" t="s">
        <v>39</v>
      </c>
      <c r="D76" s="72" t="s">
        <v>10</v>
      </c>
      <c r="E76" s="72"/>
      <c r="F76" s="307"/>
      <c r="G76" s="129" t="s">
        <v>345</v>
      </c>
      <c r="H76" s="155">
        <f>TƯƠNG!D386</f>
        <v>1.077</v>
      </c>
      <c r="I76" s="156">
        <f t="shared" si="2"/>
        <v>1.077</v>
      </c>
      <c r="J76" s="115"/>
    </row>
    <row r="77" spans="1:10" s="93" customFormat="1">
      <c r="A77" s="112">
        <f>IF(LEN(B77)=0," ",COUNTA($B$8:B77))</f>
        <v>58</v>
      </c>
      <c r="B77" s="307">
        <v>1</v>
      </c>
      <c r="C77" s="4" t="s">
        <v>40</v>
      </c>
      <c r="D77" s="72" t="s">
        <v>10</v>
      </c>
      <c r="E77" s="72"/>
      <c r="F77" s="307"/>
      <c r="G77" s="129" t="s">
        <v>345</v>
      </c>
      <c r="H77" s="155">
        <f>TƯƠNG!D387</f>
        <v>39.850999999999999</v>
      </c>
      <c r="I77" s="156">
        <f t="shared" si="2"/>
        <v>39.850999999999999</v>
      </c>
      <c r="J77" s="115"/>
    </row>
    <row r="78" spans="1:10" s="93" customFormat="1">
      <c r="A78" s="112">
        <f>IF(LEN(B78)=0," ",COUNTA($B$8:B78))</f>
        <v>59</v>
      </c>
      <c r="B78" s="307">
        <v>1</v>
      </c>
      <c r="C78" s="4" t="s">
        <v>41</v>
      </c>
      <c r="D78" s="72" t="s">
        <v>10</v>
      </c>
      <c r="E78" s="72"/>
      <c r="F78" s="307"/>
      <c r="G78" s="129" t="s">
        <v>345</v>
      </c>
      <c r="H78" s="155">
        <f>TƯƠNG!D388</f>
        <v>0.84599999999999997</v>
      </c>
      <c r="I78" s="156">
        <f t="shared" si="2"/>
        <v>0.84599999999999997</v>
      </c>
      <c r="J78" s="115"/>
    </row>
    <row r="79" spans="1:10" s="93" customFormat="1">
      <c r="A79" s="112">
        <f>IF(LEN(B79)=0," ",COUNTA($B$8:B79))</f>
        <v>60</v>
      </c>
      <c r="B79" s="307">
        <v>1</v>
      </c>
      <c r="C79" s="4" t="s">
        <v>42</v>
      </c>
      <c r="D79" s="72" t="s">
        <v>10</v>
      </c>
      <c r="E79" s="72"/>
      <c r="F79" s="307"/>
      <c r="G79" s="129" t="s">
        <v>345</v>
      </c>
      <c r="H79" s="155">
        <f>TƯƠNG!D389</f>
        <v>33.731999999999999</v>
      </c>
      <c r="I79" s="156">
        <f t="shared" si="2"/>
        <v>33.731999999999999</v>
      </c>
      <c r="J79" s="115"/>
    </row>
    <row r="80" spans="1:10" s="93" customFormat="1" ht="15.75" customHeight="1">
      <c r="A80" s="112">
        <f>IF(LEN(B80)=0," ",COUNTA($B$8:B80))</f>
        <v>61</v>
      </c>
      <c r="B80" s="307">
        <v>1</v>
      </c>
      <c r="C80" s="4" t="s">
        <v>61</v>
      </c>
      <c r="D80" s="72" t="s">
        <v>10</v>
      </c>
      <c r="E80" s="72"/>
      <c r="F80" s="307"/>
      <c r="G80" s="129" t="s">
        <v>345</v>
      </c>
      <c r="H80" s="155">
        <f>TƯƠNG!D390</f>
        <v>20.369</v>
      </c>
      <c r="I80" s="156">
        <f t="shared" si="2"/>
        <v>20.369</v>
      </c>
      <c r="J80" s="115"/>
    </row>
    <row r="81" spans="1:10" s="93" customFormat="1" ht="15.75" customHeight="1">
      <c r="A81" s="112">
        <f>IF(LEN(B81)=0," ",COUNTA($B$8:B81))</f>
        <v>62</v>
      </c>
      <c r="B81" s="307">
        <v>1</v>
      </c>
      <c r="C81" s="4" t="s">
        <v>43</v>
      </c>
      <c r="D81" s="72" t="s">
        <v>4</v>
      </c>
      <c r="E81" s="72"/>
      <c r="F81" s="307"/>
      <c r="G81" s="129" t="s">
        <v>345</v>
      </c>
      <c r="H81" s="155">
        <f ca="1">TƯƠNG!D391</f>
        <v>1.1279999999999999</v>
      </c>
      <c r="I81" s="156">
        <f t="shared" ca="1" si="2"/>
        <v>1.1279999999999999</v>
      </c>
      <c r="J81" s="115"/>
    </row>
    <row r="82" spans="1:10" s="110" customFormat="1">
      <c r="A82" s="112">
        <f>IF(LEN(B82)=0," ",COUNTA($B$8:B82))</f>
        <v>63</v>
      </c>
      <c r="B82" s="307">
        <v>1</v>
      </c>
      <c r="C82" s="4" t="s">
        <v>44</v>
      </c>
      <c r="D82" s="72" t="s">
        <v>4</v>
      </c>
      <c r="E82" s="72"/>
      <c r="F82" s="307"/>
      <c r="G82" s="129" t="s">
        <v>345</v>
      </c>
      <c r="H82" s="155">
        <f ca="1">TƯƠNG!D392</f>
        <v>5.5970000000000004</v>
      </c>
      <c r="I82" s="156">
        <f t="shared" ca="1" si="2"/>
        <v>5.5970000000000004</v>
      </c>
      <c r="J82" s="115"/>
    </row>
    <row r="83" spans="1:10" s="110" customFormat="1" ht="12.75" customHeight="1">
      <c r="A83" s="112">
        <f>IF(LEN(B83)=0," ",COUNTA($B$8:B83))</f>
        <v>64</v>
      </c>
      <c r="B83" s="307">
        <v>1</v>
      </c>
      <c r="C83" s="4" t="s">
        <v>12</v>
      </c>
      <c r="D83" s="72" t="s">
        <v>4</v>
      </c>
      <c r="E83" s="72"/>
      <c r="F83" s="307"/>
      <c r="G83" s="129" t="s">
        <v>345</v>
      </c>
      <c r="H83" s="155">
        <f ca="1">TƯƠNG!D393</f>
        <v>26.988</v>
      </c>
      <c r="I83" s="156">
        <f t="shared" ca="1" si="2"/>
        <v>26.988</v>
      </c>
      <c r="J83" s="115"/>
    </row>
    <row r="84" spans="1:10" s="110" customFormat="1">
      <c r="A84" s="112">
        <f>IF(LEN(B84)=0," ",COUNTA($B$8:B84))</f>
        <v>65</v>
      </c>
      <c r="B84" s="307">
        <v>1</v>
      </c>
      <c r="C84" s="4" t="s">
        <v>48</v>
      </c>
      <c r="D84" s="72" t="s">
        <v>4</v>
      </c>
      <c r="E84" s="72"/>
      <c r="F84" s="307"/>
      <c r="G84" s="129" t="s">
        <v>345</v>
      </c>
      <c r="H84" s="155">
        <f ca="1">TƯƠNG!D394</f>
        <v>4.2679999999999998</v>
      </c>
      <c r="I84" s="156">
        <f t="shared" ca="1" si="2"/>
        <v>4.2679999999999998</v>
      </c>
      <c r="J84" s="115"/>
    </row>
    <row r="85" spans="1:10" s="110" customFormat="1" ht="12.75" customHeight="1">
      <c r="A85" s="112">
        <f>IF(LEN(B85)=0," ",COUNTA($B$8:B85))</f>
        <v>66</v>
      </c>
      <c r="B85" s="307">
        <v>1</v>
      </c>
      <c r="C85" s="4" t="s">
        <v>440</v>
      </c>
      <c r="D85" s="72" t="s">
        <v>2</v>
      </c>
      <c r="E85" s="72"/>
      <c r="F85" s="307"/>
      <c r="G85" s="129" t="s">
        <v>345</v>
      </c>
      <c r="H85" s="155">
        <f ca="1">TƯƠNG!D395</f>
        <v>483</v>
      </c>
      <c r="I85" s="156">
        <f t="shared" ca="1" si="2"/>
        <v>483</v>
      </c>
      <c r="J85" s="115"/>
    </row>
    <row r="86" spans="1:10" s="110" customFormat="1">
      <c r="A86" s="112">
        <f>IF(LEN(B86)=0," ",COUNTA($B$8:B86))</f>
        <v>67</v>
      </c>
      <c r="B86" s="307">
        <v>1</v>
      </c>
      <c r="C86" s="4" t="s">
        <v>124</v>
      </c>
      <c r="D86" s="72" t="s">
        <v>2</v>
      </c>
      <c r="E86" s="72"/>
      <c r="F86" s="307"/>
      <c r="G86" s="129" t="s">
        <v>345</v>
      </c>
      <c r="H86" s="155">
        <f ca="1">TƯƠNG!D396</f>
        <v>268</v>
      </c>
      <c r="I86" s="156">
        <f t="shared" ca="1" si="2"/>
        <v>268</v>
      </c>
      <c r="J86" s="115"/>
    </row>
    <row r="87" spans="1:10" s="110" customFormat="1">
      <c r="A87" s="112">
        <f>IF(LEN(B87)=0," ",COUNTA($B$8:B87))</f>
        <v>68</v>
      </c>
      <c r="B87" s="307">
        <v>1</v>
      </c>
      <c r="C87" s="4" t="s">
        <v>444</v>
      </c>
      <c r="D87" s="72" t="s">
        <v>21</v>
      </c>
      <c r="E87" s="72"/>
      <c r="F87" s="307"/>
      <c r="G87" s="129" t="s">
        <v>345</v>
      </c>
      <c r="H87" s="155">
        <f ca="1">TƯƠNG!D397</f>
        <v>183</v>
      </c>
      <c r="I87" s="156">
        <f t="shared" ca="1" si="2"/>
        <v>183</v>
      </c>
      <c r="J87" s="115"/>
    </row>
    <row r="88" spans="1:10" s="110" customFormat="1" hidden="1">
      <c r="A88" s="112" t="str">
        <f>IF(LEN(B88)=0," ",COUNTA($B$8:B88))</f>
        <v xml:space="preserve"> </v>
      </c>
      <c r="B88" s="307"/>
      <c r="C88" s="4" t="s">
        <v>445</v>
      </c>
      <c r="D88" s="72" t="s">
        <v>4</v>
      </c>
      <c r="E88" s="72"/>
      <c r="F88" s="307"/>
      <c r="G88" s="129" t="s">
        <v>345</v>
      </c>
      <c r="H88" s="155">
        <f ca="1">TƯƠNG!D398</f>
        <v>0.14099999999999999</v>
      </c>
      <c r="I88" s="156">
        <f t="shared" ca="1" si="2"/>
        <v>0.14099999999999999</v>
      </c>
      <c r="J88" s="115"/>
    </row>
    <row r="89" spans="1:10" s="123" customFormat="1">
      <c r="A89" s="118" t="s">
        <v>465</v>
      </c>
      <c r="B89" s="72"/>
      <c r="C89" s="7" t="s">
        <v>348</v>
      </c>
      <c r="D89" s="72"/>
      <c r="E89" s="72"/>
      <c r="F89" s="131"/>
      <c r="G89" s="122"/>
      <c r="H89" s="155"/>
      <c r="I89" s="153"/>
      <c r="J89" s="115"/>
    </row>
    <row r="90" spans="1:10" s="123" customFormat="1">
      <c r="A90" s="112">
        <f>IF(LEN(B90)=0," ",COUNTA($B$8:B90))</f>
        <v>69</v>
      </c>
      <c r="B90" s="72">
        <v>1</v>
      </c>
      <c r="C90" s="41" t="s">
        <v>148</v>
      </c>
      <c r="D90" s="72" t="s">
        <v>10</v>
      </c>
      <c r="E90" s="72"/>
      <c r="F90" s="132"/>
      <c r="G90" s="72" t="s">
        <v>397</v>
      </c>
      <c r="H90" s="155">
        <f ca="1">'LAN CAN'!D59</f>
        <v>2.6865161700000004</v>
      </c>
      <c r="I90" s="153">
        <f ca="1">ROUND(H90,3)</f>
        <v>2.6869999999999998</v>
      </c>
      <c r="J90" s="115"/>
    </row>
    <row r="91" spans="1:10" s="123" customFormat="1">
      <c r="A91" s="112">
        <f>IF(LEN(B91)=0," ",COUNTA($B$8:B91))</f>
        <v>70</v>
      </c>
      <c r="B91" s="72">
        <v>1</v>
      </c>
      <c r="C91" s="41" t="s">
        <v>366</v>
      </c>
      <c r="D91" s="72" t="s">
        <v>10</v>
      </c>
      <c r="E91" s="72"/>
      <c r="F91" s="132"/>
      <c r="G91" s="72" t="s">
        <v>397</v>
      </c>
      <c r="H91" s="155"/>
      <c r="I91" s="153">
        <f ca="1">I90</f>
        <v>2.6869999999999998</v>
      </c>
      <c r="J91" s="115"/>
    </row>
    <row r="92" spans="1:10" s="123" customFormat="1">
      <c r="A92" s="112">
        <f>IF(LEN(B92)=0," ",COUNTA($B$8:B92))</f>
        <v>71</v>
      </c>
      <c r="B92" s="72">
        <v>1</v>
      </c>
      <c r="C92" s="41" t="s">
        <v>154</v>
      </c>
      <c r="D92" s="72" t="s">
        <v>10</v>
      </c>
      <c r="E92" s="72"/>
      <c r="F92" s="132"/>
      <c r="G92" s="72" t="s">
        <v>397</v>
      </c>
      <c r="H92" s="155">
        <f ca="1">'LAN CAN'!D60</f>
        <v>2.5623184999999999</v>
      </c>
      <c r="I92" s="153">
        <f ca="1">ROUND(H92,3)</f>
        <v>2.5619999999999998</v>
      </c>
      <c r="J92" s="115"/>
    </row>
    <row r="93" spans="1:10" s="123" customFormat="1">
      <c r="A93" s="112">
        <f>IF(LEN(B93)=0," ",COUNTA($B$8:B93))</f>
        <v>72</v>
      </c>
      <c r="B93" s="72">
        <v>1</v>
      </c>
      <c r="C93" s="41" t="s">
        <v>155</v>
      </c>
      <c r="D93" s="72" t="s">
        <v>10</v>
      </c>
      <c r="E93" s="72"/>
      <c r="F93" s="132"/>
      <c r="G93" s="72" t="s">
        <v>397</v>
      </c>
      <c r="H93" s="155">
        <f ca="1">'LAN CAN'!D61</f>
        <v>3.2944095000000004</v>
      </c>
      <c r="I93" s="153">
        <f t="shared" ref="I93:I95" ca="1" si="3">ROUND(H93,3)</f>
        <v>3.294</v>
      </c>
      <c r="J93" s="115"/>
    </row>
    <row r="94" spans="1:10" s="123" customFormat="1">
      <c r="A94" s="112">
        <f>IF(LEN(B94)=0," ",COUNTA($B$8:B94))</f>
        <v>73</v>
      </c>
      <c r="B94" s="72">
        <v>1</v>
      </c>
      <c r="C94" s="41" t="s">
        <v>152</v>
      </c>
      <c r="D94" s="72" t="s">
        <v>0</v>
      </c>
      <c r="E94" s="72"/>
      <c r="F94" s="132"/>
      <c r="G94" s="72" t="s">
        <v>397</v>
      </c>
      <c r="H94" s="155">
        <f ca="1">'LAN CAN'!D62</f>
        <v>373.04000000000008</v>
      </c>
      <c r="I94" s="153">
        <f t="shared" ca="1" si="3"/>
        <v>373.04</v>
      </c>
      <c r="J94" s="115"/>
    </row>
    <row r="95" spans="1:10" s="123" customFormat="1">
      <c r="A95" s="112">
        <f>IF(LEN(B95)=0," ",COUNTA($B$8:B95))</f>
        <v>74</v>
      </c>
      <c r="B95" s="72">
        <v>1</v>
      </c>
      <c r="C95" s="41" t="s">
        <v>153</v>
      </c>
      <c r="D95" s="72" t="s">
        <v>156</v>
      </c>
      <c r="E95" s="72"/>
      <c r="F95" s="132"/>
      <c r="G95" s="72" t="s">
        <v>397</v>
      </c>
      <c r="H95" s="155">
        <f ca="1">'LAN CAN'!D63</f>
        <v>780</v>
      </c>
      <c r="I95" s="153">
        <f t="shared" ca="1" si="3"/>
        <v>780</v>
      </c>
      <c r="J95" s="115"/>
    </row>
    <row r="96" spans="1:10" s="123" customFormat="1" hidden="1">
      <c r="A96" s="118"/>
      <c r="B96" s="125"/>
      <c r="C96" s="7" t="s">
        <v>371</v>
      </c>
      <c r="D96" s="72"/>
      <c r="E96" s="72"/>
      <c r="F96" s="127"/>
      <c r="G96" s="119"/>
      <c r="H96" s="136"/>
      <c r="I96" s="153"/>
      <c r="J96" s="115"/>
    </row>
    <row r="97" spans="1:10" s="123" customFormat="1" hidden="1">
      <c r="A97" s="112" t="str">
        <f>IF(LEN(B97)=0," ",COUNTA($B$8:B97))</f>
        <v xml:space="preserve"> </v>
      </c>
      <c r="B97" s="125"/>
      <c r="C97" s="66" t="s">
        <v>351</v>
      </c>
      <c r="D97" s="72" t="s">
        <v>5</v>
      </c>
      <c r="E97" s="72"/>
      <c r="F97" s="132"/>
      <c r="G97" s="72" t="s">
        <v>397</v>
      </c>
      <c r="H97" s="136"/>
      <c r="I97" s="153">
        <f>CỌC!I58</f>
        <v>67.2</v>
      </c>
      <c r="J97" s="115"/>
    </row>
    <row r="98" spans="1:10" s="123" customFormat="1" hidden="1">
      <c r="A98" s="112" t="str">
        <f>IF(LEN(B98)=0," ",COUNTA($B$8:B98))</f>
        <v xml:space="preserve"> </v>
      </c>
      <c r="B98" s="125"/>
      <c r="C98" s="4" t="s">
        <v>352</v>
      </c>
      <c r="D98" s="72" t="s">
        <v>5</v>
      </c>
      <c r="E98" s="72"/>
      <c r="F98" s="132"/>
      <c r="G98" s="72" t="s">
        <v>397</v>
      </c>
      <c r="H98" s="136"/>
      <c r="I98" s="153">
        <f>CỌC!I59</f>
        <v>30</v>
      </c>
      <c r="J98" s="115"/>
    </row>
    <row r="99" spans="1:10" s="123" customFormat="1">
      <c r="A99" s="118" t="s">
        <v>465</v>
      </c>
      <c r="B99" s="307"/>
      <c r="C99" s="7" t="s">
        <v>279</v>
      </c>
      <c r="D99" s="307"/>
      <c r="E99" s="307"/>
      <c r="F99" s="307"/>
      <c r="G99" s="122"/>
      <c r="H99" s="155"/>
      <c r="I99" s="153"/>
      <c r="J99" s="115"/>
    </row>
    <row r="100" spans="1:10" s="123" customFormat="1">
      <c r="A100" s="112">
        <f>IF(LEN(B100)=0," ",COUNTA($B$8:B100))</f>
        <v>75</v>
      </c>
      <c r="B100" s="72">
        <v>1</v>
      </c>
      <c r="C100" s="4" t="s">
        <v>179</v>
      </c>
      <c r="D100" s="72" t="s">
        <v>10</v>
      </c>
      <c r="E100" s="72"/>
      <c r="F100" s="72"/>
      <c r="G100" s="72" t="s">
        <v>397</v>
      </c>
      <c r="H100" s="136">
        <f>'SD DAI TRA'!E16</f>
        <v>15.164879999999998</v>
      </c>
      <c r="I100" s="153">
        <f t="shared" ref="I100:I136" si="4">ROUND(H100,3)</f>
        <v>15.164999999999999</v>
      </c>
      <c r="J100" s="115"/>
    </row>
    <row r="101" spans="1:10" s="123" customFormat="1">
      <c r="A101" s="112"/>
      <c r="B101" s="72"/>
      <c r="C101" s="140" t="s">
        <v>274</v>
      </c>
      <c r="D101" s="141" t="s">
        <v>10</v>
      </c>
      <c r="E101" s="141"/>
      <c r="F101" s="141"/>
      <c r="G101" s="72" t="s">
        <v>397</v>
      </c>
      <c r="H101" s="157">
        <f>'SD DAI TRA'!E17</f>
        <v>10.151999999999999</v>
      </c>
      <c r="I101" s="153">
        <f t="shared" si="4"/>
        <v>10.151999999999999</v>
      </c>
      <c r="J101" s="115"/>
    </row>
    <row r="102" spans="1:10" s="123" customFormat="1">
      <c r="A102" s="112"/>
      <c r="B102" s="72"/>
      <c r="C102" s="140" t="s">
        <v>273</v>
      </c>
      <c r="D102" s="141" t="s">
        <v>10</v>
      </c>
      <c r="E102" s="141"/>
      <c r="F102" s="141"/>
      <c r="G102" s="72" t="s">
        <v>397</v>
      </c>
      <c r="H102" s="157">
        <f>'SD DAI TRA'!E18</f>
        <v>4.7944799999999992</v>
      </c>
      <c r="I102" s="153">
        <f t="shared" si="4"/>
        <v>4.7939999999999996</v>
      </c>
      <c r="J102" s="115"/>
    </row>
    <row r="103" spans="1:10" s="123" customFormat="1">
      <c r="A103" s="112"/>
      <c r="B103" s="72"/>
      <c r="C103" s="142" t="s">
        <v>278</v>
      </c>
      <c r="D103" s="141" t="s">
        <v>10</v>
      </c>
      <c r="E103" s="141"/>
      <c r="F103" s="141"/>
      <c r="G103" s="72" t="s">
        <v>397</v>
      </c>
      <c r="H103" s="157">
        <f>'SD DAI TRA'!E19</f>
        <v>0.21840000000000001</v>
      </c>
      <c r="I103" s="153">
        <f t="shared" si="4"/>
        <v>0.218</v>
      </c>
      <c r="J103" s="115"/>
    </row>
    <row r="104" spans="1:10" s="123" customFormat="1">
      <c r="A104" s="112">
        <f>IF(LEN(B104)=0," ",COUNTA($B$8:B104))</f>
        <v>76</v>
      </c>
      <c r="B104" s="72">
        <v>1</v>
      </c>
      <c r="C104" s="143" t="s">
        <v>277</v>
      </c>
      <c r="D104" s="72" t="s">
        <v>10</v>
      </c>
      <c r="E104" s="72"/>
      <c r="F104" s="9"/>
      <c r="G104" s="72" t="s">
        <v>397</v>
      </c>
      <c r="H104" s="158">
        <f ca="1">'SD DAI TRA'!E20</f>
        <v>17.8857936</v>
      </c>
      <c r="I104" s="153">
        <f t="shared" ca="1" si="4"/>
        <v>17.885999999999999</v>
      </c>
    </row>
    <row r="105" spans="1:10" s="123" customFormat="1">
      <c r="A105" s="112">
        <f>IF(LEN(B105)=0," ",COUNTA($B$8:B105))</f>
        <v>77</v>
      </c>
      <c r="B105" s="72">
        <v>1</v>
      </c>
      <c r="C105" s="143" t="s">
        <v>276</v>
      </c>
      <c r="D105" s="72" t="s">
        <v>10</v>
      </c>
      <c r="E105" s="72"/>
      <c r="F105" s="4"/>
      <c r="G105" s="72" t="s">
        <v>397</v>
      </c>
      <c r="H105" s="158">
        <f ca="1">'SD DAI TRA'!E21</f>
        <v>16.82694</v>
      </c>
      <c r="I105" s="153">
        <f t="shared" ca="1" si="4"/>
        <v>16.827000000000002</v>
      </c>
    </row>
    <row r="106" spans="1:10" s="123" customFormat="1">
      <c r="A106" s="112">
        <f>IF(LEN(B106)=0," ",COUNTA($B$8:B106))</f>
        <v>78</v>
      </c>
      <c r="B106" s="72">
        <v>1</v>
      </c>
      <c r="C106" s="143" t="s">
        <v>197</v>
      </c>
      <c r="D106" s="72" t="s">
        <v>10</v>
      </c>
      <c r="E106" s="72"/>
      <c r="F106" s="4"/>
      <c r="G106" s="72" t="s">
        <v>397</v>
      </c>
      <c r="H106" s="136">
        <f ca="1">'SD DAI TRA'!E22</f>
        <v>8.2425800000000002</v>
      </c>
      <c r="I106" s="153">
        <f t="shared" ca="1" si="4"/>
        <v>8.2430000000000003</v>
      </c>
    </row>
    <row r="107" spans="1:10" s="123" customFormat="1">
      <c r="A107" s="112">
        <f>IF(LEN(B107)=0," ",COUNTA($B$8:B107))</f>
        <v>79</v>
      </c>
      <c r="B107" s="72">
        <v>1</v>
      </c>
      <c r="C107" s="4" t="s">
        <v>198</v>
      </c>
      <c r="D107" s="72" t="s">
        <v>10</v>
      </c>
      <c r="E107" s="72"/>
      <c r="F107" s="144"/>
      <c r="G107" s="72" t="s">
        <v>397</v>
      </c>
      <c r="H107" s="136">
        <f ca="1">'SD DAI TRA'!E23</f>
        <v>352.40799999999996</v>
      </c>
      <c r="I107" s="153">
        <f t="shared" ca="1" si="4"/>
        <v>352.40800000000002</v>
      </c>
    </row>
    <row r="108" spans="1:10" s="123" customFormat="1">
      <c r="A108" s="112">
        <f>IF(LEN(B108)=0," ",COUNTA($B$8:B108))</f>
        <v>80</v>
      </c>
      <c r="B108" s="72">
        <v>1</v>
      </c>
      <c r="C108" s="143" t="s">
        <v>270</v>
      </c>
      <c r="D108" s="77" t="s">
        <v>6</v>
      </c>
      <c r="E108" s="77"/>
      <c r="F108" s="4"/>
      <c r="G108" s="72" t="s">
        <v>397</v>
      </c>
      <c r="H108" s="136">
        <f ca="1">'SD DAI TRA'!E24</f>
        <v>17.82</v>
      </c>
      <c r="I108" s="153">
        <f t="shared" ca="1" si="4"/>
        <v>17.82</v>
      </c>
    </row>
    <row r="109" spans="1:10" s="123" customFormat="1">
      <c r="A109" s="112">
        <f>IF(LEN(B109)=0," ",COUNTA($B$8:B109))</f>
        <v>81</v>
      </c>
      <c r="B109" s="72">
        <v>1</v>
      </c>
      <c r="C109" s="143" t="s">
        <v>269</v>
      </c>
      <c r="D109" s="77" t="s">
        <v>6</v>
      </c>
      <c r="E109" s="77"/>
      <c r="F109" s="4"/>
      <c r="G109" s="72" t="s">
        <v>397</v>
      </c>
      <c r="H109" s="136">
        <f ca="1">'SD DAI TRA'!E25</f>
        <v>17.82</v>
      </c>
      <c r="I109" s="153">
        <f t="shared" ca="1" si="4"/>
        <v>17.82</v>
      </c>
    </row>
    <row r="110" spans="1:10" s="123" customFormat="1">
      <c r="A110" s="112">
        <f>IF(LEN(B110)=0," ",COUNTA($B$8:B110))</f>
        <v>82</v>
      </c>
      <c r="B110" s="72">
        <v>1</v>
      </c>
      <c r="C110" s="4" t="s">
        <v>576</v>
      </c>
      <c r="D110" s="72" t="s">
        <v>6</v>
      </c>
      <c r="E110" s="72"/>
      <c r="F110" s="72"/>
      <c r="G110" s="72" t="s">
        <v>397</v>
      </c>
      <c r="H110" s="136">
        <f ca="1">'SD DAI TRA'!E26</f>
        <v>17.82</v>
      </c>
      <c r="I110" s="153">
        <f t="shared" ca="1" si="4"/>
        <v>17.82</v>
      </c>
    </row>
    <row r="111" spans="1:10" s="123" customFormat="1">
      <c r="A111" s="112">
        <f>IF(LEN(B111)=0," ",COUNTA($B$8:B111))</f>
        <v>83</v>
      </c>
      <c r="B111" s="72">
        <v>1</v>
      </c>
      <c r="C111" s="4" t="s">
        <v>577</v>
      </c>
      <c r="D111" s="72" t="s">
        <v>6</v>
      </c>
      <c r="E111" s="72"/>
      <c r="F111" s="72"/>
      <c r="G111" s="72" t="s">
        <v>397</v>
      </c>
      <c r="H111" s="136">
        <f ca="1">'SD DAI TRA'!E27</f>
        <v>17.82</v>
      </c>
      <c r="I111" s="153">
        <f t="shared" ca="1" si="4"/>
        <v>17.82</v>
      </c>
    </row>
    <row r="112" spans="1:10" s="123" customFormat="1">
      <c r="A112" s="118" t="s">
        <v>465</v>
      </c>
      <c r="B112" s="307"/>
      <c r="C112" s="7" t="s">
        <v>275</v>
      </c>
      <c r="D112" s="307"/>
      <c r="E112" s="307"/>
      <c r="F112" s="307"/>
      <c r="G112" s="122"/>
      <c r="H112" s="155"/>
      <c r="I112" s="153"/>
      <c r="J112" s="115"/>
    </row>
    <row r="113" spans="1:10" s="123" customFormat="1">
      <c r="A113" s="112">
        <f>IF(LEN(B113)=0," ",COUNTA($B$8:B113))</f>
        <v>84</v>
      </c>
      <c r="B113" s="72">
        <v>1</v>
      </c>
      <c r="C113" s="4" t="s">
        <v>179</v>
      </c>
      <c r="D113" s="72" t="s">
        <v>10</v>
      </c>
      <c r="E113" s="72"/>
      <c r="F113" s="72"/>
      <c r="G113" s="72" t="s">
        <v>397</v>
      </c>
      <c r="H113" s="136">
        <f>'SD COC THU'!E15</f>
        <v>7.4732399999999997</v>
      </c>
      <c r="I113" s="153">
        <f t="shared" si="4"/>
        <v>7.4729999999999999</v>
      </c>
      <c r="J113" s="115"/>
    </row>
    <row r="114" spans="1:10" s="123" customFormat="1">
      <c r="A114" s="112"/>
      <c r="B114" s="72"/>
      <c r="C114" s="4" t="s">
        <v>274</v>
      </c>
      <c r="D114" s="72" t="s">
        <v>10</v>
      </c>
      <c r="E114" s="72"/>
      <c r="F114" s="72"/>
      <c r="G114" s="72" t="s">
        <v>397</v>
      </c>
      <c r="H114" s="159">
        <f>'SD COC THU'!E16</f>
        <v>6.7679999999999998</v>
      </c>
      <c r="I114" s="153">
        <f t="shared" si="4"/>
        <v>6.7679999999999998</v>
      </c>
      <c r="J114" s="115"/>
    </row>
    <row r="115" spans="1:10" s="123" customFormat="1">
      <c r="A115" s="112"/>
      <c r="B115" s="72"/>
      <c r="C115" s="4" t="s">
        <v>273</v>
      </c>
      <c r="D115" s="72" t="s">
        <v>10</v>
      </c>
      <c r="E115" s="72"/>
      <c r="F115" s="72"/>
      <c r="G115" s="72" t="s">
        <v>397</v>
      </c>
      <c r="H115" s="136">
        <f>'SD COC THU'!E17</f>
        <v>0.70523999999999976</v>
      </c>
      <c r="I115" s="153">
        <f t="shared" si="4"/>
        <v>0.70499999999999996</v>
      </c>
      <c r="J115" s="115"/>
    </row>
    <row r="116" spans="1:10" s="123" customFormat="1">
      <c r="A116" s="112">
        <f>IF(LEN(B116)=0," ",COUNTA($B$8:B116))</f>
        <v>85</v>
      </c>
      <c r="B116" s="72">
        <v>1</v>
      </c>
      <c r="C116" s="143" t="s">
        <v>272</v>
      </c>
      <c r="D116" s="72" t="s">
        <v>10</v>
      </c>
      <c r="E116" s="72"/>
      <c r="F116" s="72"/>
      <c r="G116" s="72" t="s">
        <v>397</v>
      </c>
      <c r="H116" s="136">
        <f ca="1">'SD COC THU'!E18</f>
        <v>1.4450356800000002</v>
      </c>
      <c r="I116" s="153">
        <f t="shared" ca="1" si="4"/>
        <v>1.4450000000000001</v>
      </c>
      <c r="J116" s="115"/>
    </row>
    <row r="117" spans="1:10" s="123" customFormat="1">
      <c r="A117" s="112">
        <f>IF(LEN(B117)=0," ",COUNTA($B$8:B117))</f>
        <v>86</v>
      </c>
      <c r="B117" s="72">
        <v>1</v>
      </c>
      <c r="C117" s="143" t="s">
        <v>271</v>
      </c>
      <c r="D117" s="72" t="s">
        <v>10</v>
      </c>
      <c r="E117" s="72"/>
      <c r="F117" s="72"/>
      <c r="G117" s="72" t="s">
        <v>397</v>
      </c>
      <c r="H117" s="136">
        <f ca="1">'SD COC THU'!E19</f>
        <v>0.30033000000000004</v>
      </c>
      <c r="I117" s="153">
        <f t="shared" ca="1" si="4"/>
        <v>0.3</v>
      </c>
      <c r="J117" s="115"/>
    </row>
    <row r="118" spans="1:10" s="123" customFormat="1">
      <c r="A118" s="112">
        <f>IF(LEN(B118)=0," ",COUNTA($B$8:B118))</f>
        <v>87</v>
      </c>
      <c r="B118" s="72">
        <v>1</v>
      </c>
      <c r="C118" s="4" t="s">
        <v>353</v>
      </c>
      <c r="D118" s="72" t="s">
        <v>10</v>
      </c>
      <c r="E118" s="72"/>
      <c r="F118" s="144"/>
      <c r="G118" s="72" t="s">
        <v>397</v>
      </c>
      <c r="H118" s="136">
        <f ca="1">'SD COC THU'!E20</f>
        <v>4.2299999999999995</v>
      </c>
      <c r="I118" s="153">
        <f t="shared" ca="1" si="4"/>
        <v>4.2300000000000004</v>
      </c>
      <c r="J118" s="115"/>
    </row>
    <row r="119" spans="1:10" s="123" customFormat="1">
      <c r="A119" s="112">
        <f>IF(LEN(B119)=0," ",COUNTA($B$8:B119))</f>
        <v>88</v>
      </c>
      <c r="B119" s="72">
        <v>1</v>
      </c>
      <c r="C119" s="143" t="s">
        <v>270</v>
      </c>
      <c r="D119" s="77" t="s">
        <v>6</v>
      </c>
      <c r="E119" s="77"/>
      <c r="F119" s="72"/>
      <c r="G119" s="72" t="s">
        <v>397</v>
      </c>
      <c r="H119" s="136">
        <f ca="1">'SD COC THU'!E21</f>
        <v>2.16</v>
      </c>
      <c r="I119" s="153">
        <f t="shared" ca="1" si="4"/>
        <v>2.16</v>
      </c>
      <c r="J119" s="115"/>
    </row>
    <row r="120" spans="1:10" s="123" customFormat="1">
      <c r="A120" s="112">
        <f>IF(LEN(B120)=0," ",COUNTA($B$8:B120))</f>
        <v>89</v>
      </c>
      <c r="B120" s="72">
        <v>1</v>
      </c>
      <c r="C120" s="143" t="s">
        <v>269</v>
      </c>
      <c r="D120" s="77" t="s">
        <v>6</v>
      </c>
      <c r="E120" s="77"/>
      <c r="F120" s="72"/>
      <c r="G120" s="72" t="s">
        <v>397</v>
      </c>
      <c r="H120" s="136">
        <f ca="1">'SD COC THU'!E22</f>
        <v>2.16</v>
      </c>
      <c r="I120" s="153">
        <f t="shared" ca="1" si="4"/>
        <v>2.16</v>
      </c>
      <c r="J120" s="115"/>
    </row>
    <row r="121" spans="1:10" s="123" customFormat="1">
      <c r="A121" s="112">
        <f>IF(LEN(B121)=0," ",COUNTA($B$8:B121))</f>
        <v>90</v>
      </c>
      <c r="B121" s="72">
        <v>1</v>
      </c>
      <c r="C121" s="4" t="s">
        <v>576</v>
      </c>
      <c r="D121" s="72" t="s">
        <v>6</v>
      </c>
      <c r="E121" s="72"/>
      <c r="F121" s="72"/>
      <c r="G121" s="72" t="s">
        <v>397</v>
      </c>
      <c r="H121" s="136">
        <f ca="1">'SD COC THU'!E23</f>
        <v>2.16</v>
      </c>
      <c r="I121" s="153">
        <f t="shared" ca="1" si="4"/>
        <v>2.16</v>
      </c>
      <c r="J121" s="115"/>
    </row>
    <row r="122" spans="1:10" s="123" customFormat="1">
      <c r="A122" s="112">
        <f>IF(LEN(B122)=0," ",COUNTA($B$8:B122))</f>
        <v>91</v>
      </c>
      <c r="B122" s="72">
        <v>1</v>
      </c>
      <c r="C122" s="4" t="s">
        <v>577</v>
      </c>
      <c r="D122" s="72" t="s">
        <v>6</v>
      </c>
      <c r="E122" s="72"/>
      <c r="F122" s="72"/>
      <c r="G122" s="72" t="s">
        <v>397</v>
      </c>
      <c r="H122" s="136">
        <f ca="1">'SD COC THU'!E24</f>
        <v>2.16</v>
      </c>
      <c r="I122" s="153">
        <f t="shared" ca="1" si="4"/>
        <v>2.16</v>
      </c>
      <c r="J122" s="115"/>
    </row>
    <row r="123" spans="1:10" s="123" customFormat="1">
      <c r="A123" s="112" t="s">
        <v>465</v>
      </c>
      <c r="B123" s="72"/>
      <c r="C123" s="283" t="s">
        <v>539</v>
      </c>
      <c r="D123" s="72"/>
      <c r="E123" s="72"/>
      <c r="F123" s="72"/>
      <c r="G123" s="72"/>
      <c r="H123" s="136"/>
      <c r="I123" s="153"/>
      <c r="J123" s="115"/>
    </row>
    <row r="124" spans="1:10" s="123" customFormat="1">
      <c r="A124" s="112">
        <f>IF(LEN(B124)=0," ",COUNTA($B$8:B124))</f>
        <v>92</v>
      </c>
      <c r="B124" s="72">
        <v>1</v>
      </c>
      <c r="C124" s="287" t="s">
        <v>540</v>
      </c>
      <c r="D124" s="72" t="s">
        <v>10</v>
      </c>
      <c r="E124" s="289">
        <v>1</v>
      </c>
      <c r="F124" s="289">
        <v>1</v>
      </c>
      <c r="G124" s="72" t="s">
        <v>544</v>
      </c>
      <c r="H124" s="136">
        <f ca="1">'KV THI CÔNG'!E13</f>
        <v>3.4544099999999998</v>
      </c>
      <c r="I124" s="153">
        <f t="shared" ca="1" si="4"/>
        <v>3.4540000000000002</v>
      </c>
      <c r="J124" s="115"/>
    </row>
    <row r="125" spans="1:10" s="123" customFormat="1">
      <c r="A125" s="112" t="str">
        <f>IF(LEN(B125)=0," ",COUNTA($B$8:B125))</f>
        <v xml:space="preserve"> </v>
      </c>
      <c r="B125" s="72"/>
      <c r="C125" s="284" t="s">
        <v>541</v>
      </c>
      <c r="D125" s="288" t="s">
        <v>10</v>
      </c>
      <c r="E125" s="289">
        <v>1</v>
      </c>
      <c r="F125" s="289">
        <v>1</v>
      </c>
      <c r="G125" s="288" t="s">
        <v>544</v>
      </c>
      <c r="H125" s="136">
        <f>'KV THI CÔNG'!E14</f>
        <v>163.38</v>
      </c>
      <c r="I125" s="153">
        <f t="shared" si="4"/>
        <v>163.38</v>
      </c>
      <c r="J125" s="115"/>
    </row>
    <row r="126" spans="1:10" s="123" customFormat="1">
      <c r="A126" s="112" t="str">
        <f>IF(LEN(B126)=0," ",COUNTA($B$8:B126))</f>
        <v xml:space="preserve"> </v>
      </c>
      <c r="B126" s="72"/>
      <c r="C126" s="284" t="s">
        <v>273</v>
      </c>
      <c r="D126" s="288" t="s">
        <v>10</v>
      </c>
      <c r="E126" s="289">
        <v>1</v>
      </c>
      <c r="F126" s="289">
        <v>1</v>
      </c>
      <c r="G126" s="288" t="s">
        <v>544</v>
      </c>
      <c r="H126" s="136">
        <f ca="1">'KV THI CÔNG'!E15</f>
        <v>3.4544099999999998</v>
      </c>
      <c r="I126" s="153">
        <f t="shared" ca="1" si="4"/>
        <v>3.4540000000000002</v>
      </c>
      <c r="J126" s="115"/>
    </row>
    <row r="127" spans="1:10" s="123" customFormat="1">
      <c r="A127" s="112">
        <f>IF(LEN(B127)=0," ",COUNTA($B$8:B127))</f>
        <v>93</v>
      </c>
      <c r="B127" s="72">
        <v>1</v>
      </c>
      <c r="C127" s="285" t="s">
        <v>542</v>
      </c>
      <c r="D127" s="72" t="s">
        <v>10</v>
      </c>
      <c r="E127" s="289">
        <v>1</v>
      </c>
      <c r="F127" s="289">
        <v>1</v>
      </c>
      <c r="G127" s="72" t="s">
        <v>544</v>
      </c>
      <c r="H127" s="136">
        <f ca="1">'KV THI CÔNG'!E16</f>
        <v>70.563822000000002</v>
      </c>
      <c r="I127" s="153">
        <f t="shared" ca="1" si="4"/>
        <v>70.563999999999993</v>
      </c>
      <c r="J127" s="115"/>
    </row>
    <row r="128" spans="1:10" s="123" customFormat="1">
      <c r="A128" s="112">
        <f>IF(LEN(B128)=0," ",COUNTA($B$8:B128))</f>
        <v>94</v>
      </c>
      <c r="B128" s="72">
        <v>1</v>
      </c>
      <c r="C128" s="285" t="s">
        <v>525</v>
      </c>
      <c r="D128" s="72" t="s">
        <v>10</v>
      </c>
      <c r="E128" s="289">
        <v>1</v>
      </c>
      <c r="F128" s="289">
        <v>1</v>
      </c>
      <c r="G128" s="72" t="s">
        <v>544</v>
      </c>
      <c r="H128" s="136">
        <f ca="1">'KV THI CÔNG'!E17</f>
        <v>2.9013600000000004</v>
      </c>
      <c r="I128" s="153">
        <f t="shared" ca="1" si="4"/>
        <v>2.9009999999999998</v>
      </c>
      <c r="J128" s="115"/>
    </row>
    <row r="129" spans="1:10" s="123" customFormat="1">
      <c r="A129" s="112">
        <f>IF(LEN(B129)=0," ",COUNTA($B$8:B129))</f>
        <v>95</v>
      </c>
      <c r="B129" s="72">
        <v>1</v>
      </c>
      <c r="C129" s="285" t="s">
        <v>526</v>
      </c>
      <c r="D129" s="72" t="s">
        <v>10</v>
      </c>
      <c r="E129" s="289">
        <v>1</v>
      </c>
      <c r="F129" s="289">
        <v>1</v>
      </c>
      <c r="G129" s="72" t="s">
        <v>544</v>
      </c>
      <c r="H129" s="136">
        <f ca="1">'KV THI CÔNG'!E18</f>
        <v>34.54</v>
      </c>
      <c r="I129" s="153">
        <f t="shared" ca="1" si="4"/>
        <v>34.54</v>
      </c>
      <c r="J129" s="115"/>
    </row>
    <row r="130" spans="1:10" s="123" customFormat="1">
      <c r="A130" s="112">
        <f>IF(LEN(B130)=0," ",COUNTA($B$8:B130))</f>
        <v>96</v>
      </c>
      <c r="B130" s="72">
        <v>1</v>
      </c>
      <c r="C130" s="286" t="s">
        <v>527</v>
      </c>
      <c r="D130" s="72" t="s">
        <v>6</v>
      </c>
      <c r="E130" s="289">
        <v>1</v>
      </c>
      <c r="F130" s="289">
        <v>1</v>
      </c>
      <c r="G130" s="72" t="s">
        <v>544</v>
      </c>
      <c r="H130" s="136">
        <f ca="1">'KV THI CÔNG'!E19</f>
        <v>153</v>
      </c>
      <c r="I130" s="153">
        <f t="shared" ca="1" si="4"/>
        <v>153</v>
      </c>
      <c r="J130" s="115"/>
    </row>
    <row r="131" spans="1:10" s="123" customFormat="1">
      <c r="A131" s="112">
        <f>IF(LEN(B131)=0," ",COUNTA($B$8:B131))</f>
        <v>97</v>
      </c>
      <c r="B131" s="72">
        <v>1</v>
      </c>
      <c r="C131" s="286" t="s">
        <v>543</v>
      </c>
      <c r="D131" s="72" t="s">
        <v>6</v>
      </c>
      <c r="E131" s="289">
        <v>1</v>
      </c>
      <c r="F131" s="289">
        <v>1</v>
      </c>
      <c r="G131" s="72" t="s">
        <v>544</v>
      </c>
      <c r="H131" s="136">
        <f ca="1">'KV THI CÔNG'!E20</f>
        <v>51</v>
      </c>
      <c r="I131" s="153">
        <f t="shared" ca="1" si="4"/>
        <v>51</v>
      </c>
      <c r="J131" s="115"/>
    </row>
    <row r="132" spans="1:10" s="123" customFormat="1">
      <c r="A132" s="112">
        <f>IF(LEN(B132)=0," ",COUNTA($B$8:B132))</f>
        <v>98</v>
      </c>
      <c r="B132" s="72">
        <v>1</v>
      </c>
      <c r="C132" s="286" t="s">
        <v>529</v>
      </c>
      <c r="D132" s="72" t="s">
        <v>6</v>
      </c>
      <c r="E132" s="289">
        <v>1</v>
      </c>
      <c r="F132" s="289">
        <v>1</v>
      </c>
      <c r="G132" s="72" t="s">
        <v>544</v>
      </c>
      <c r="H132" s="136">
        <f ca="1">'KV THI CÔNG'!E21</f>
        <v>204</v>
      </c>
      <c r="I132" s="153">
        <f t="shared" ca="1" si="4"/>
        <v>204</v>
      </c>
      <c r="J132" s="115"/>
    </row>
    <row r="133" spans="1:10" s="123" customFormat="1">
      <c r="A133" s="112">
        <f>IF(LEN(B133)=0," ",COUNTA($B$8:B133))</f>
        <v>99</v>
      </c>
      <c r="B133" s="72">
        <v>1</v>
      </c>
      <c r="C133" s="285" t="s">
        <v>194</v>
      </c>
      <c r="D133" s="72" t="s">
        <v>6</v>
      </c>
      <c r="E133" s="289">
        <v>1</v>
      </c>
      <c r="F133" s="289">
        <v>1</v>
      </c>
      <c r="G133" s="72" t="s">
        <v>544</v>
      </c>
      <c r="H133" s="136">
        <f ca="1">'KV THI CÔNG'!E22</f>
        <v>19.2</v>
      </c>
      <c r="I133" s="153">
        <f t="shared" ca="1" si="4"/>
        <v>19.2</v>
      </c>
      <c r="J133" s="115"/>
    </row>
    <row r="134" spans="1:10" s="123" customFormat="1">
      <c r="A134" s="112">
        <f>IF(LEN(B134)=0," ",COUNTA($B$8:B134))</f>
        <v>100</v>
      </c>
      <c r="B134" s="72">
        <v>1</v>
      </c>
      <c r="C134" s="285" t="s">
        <v>195</v>
      </c>
      <c r="D134" s="72" t="s">
        <v>6</v>
      </c>
      <c r="E134" s="289">
        <v>1</v>
      </c>
      <c r="F134" s="289">
        <v>1</v>
      </c>
      <c r="G134" s="72" t="s">
        <v>544</v>
      </c>
      <c r="H134" s="136">
        <f ca="1">'KV THI CÔNG'!E23</f>
        <v>4.8</v>
      </c>
      <c r="I134" s="153">
        <f t="shared" ca="1" si="4"/>
        <v>4.8</v>
      </c>
      <c r="J134" s="115"/>
    </row>
    <row r="135" spans="1:10" s="123" customFormat="1">
      <c r="A135" s="112">
        <f>IF(LEN(B135)=0," ",COUNTA($B$8:B135))</f>
        <v>101</v>
      </c>
      <c r="B135" s="72">
        <v>1</v>
      </c>
      <c r="C135" s="285" t="s">
        <v>566</v>
      </c>
      <c r="D135" s="72" t="s">
        <v>6</v>
      </c>
      <c r="E135" s="289">
        <v>1</v>
      </c>
      <c r="F135" s="289">
        <v>1</v>
      </c>
      <c r="G135" s="72" t="s">
        <v>544</v>
      </c>
      <c r="H135" s="136">
        <f ca="1">'KV THI CÔNG'!E24</f>
        <v>19.2</v>
      </c>
      <c r="I135" s="153">
        <f t="shared" ca="1" si="4"/>
        <v>19.2</v>
      </c>
      <c r="J135" s="115"/>
    </row>
    <row r="136" spans="1:10" s="123" customFormat="1">
      <c r="A136" s="112">
        <f>IF(LEN(B136)=0," ",COUNTA($B$8:B136))</f>
        <v>102</v>
      </c>
      <c r="B136" s="72">
        <v>1</v>
      </c>
      <c r="C136" s="285" t="s">
        <v>567</v>
      </c>
      <c r="D136" s="72" t="s">
        <v>6</v>
      </c>
      <c r="E136" s="289">
        <v>1</v>
      </c>
      <c r="F136" s="289">
        <v>1</v>
      </c>
      <c r="G136" s="72" t="s">
        <v>544</v>
      </c>
      <c r="H136" s="136">
        <f ca="1">'KV THI CÔNG'!E25</f>
        <v>4.8</v>
      </c>
      <c r="I136" s="153">
        <f t="shared" ca="1" si="4"/>
        <v>4.8</v>
      </c>
      <c r="J136" s="115"/>
    </row>
    <row r="137" spans="1:10" s="123" customFormat="1">
      <c r="A137" s="118" t="s">
        <v>267</v>
      </c>
      <c r="B137" s="72"/>
      <c r="C137" s="173" t="s">
        <v>300</v>
      </c>
      <c r="D137" s="72"/>
      <c r="E137" s="72"/>
      <c r="F137" s="131"/>
      <c r="G137" s="122"/>
      <c r="H137" s="155"/>
      <c r="I137" s="153"/>
      <c r="J137" s="115"/>
    </row>
    <row r="138" spans="1:10" s="123" customFormat="1">
      <c r="A138" s="323" t="s">
        <v>465</v>
      </c>
      <c r="B138" s="72"/>
      <c r="C138" s="64" t="s">
        <v>263</v>
      </c>
      <c r="D138" s="72"/>
      <c r="E138" s="72"/>
      <c r="F138" s="17"/>
      <c r="G138" s="119"/>
      <c r="H138" s="136"/>
      <c r="I138" s="153"/>
      <c r="J138" s="115"/>
    </row>
    <row r="139" spans="1:10" s="123" customFormat="1">
      <c r="A139" s="112" t="str">
        <f>IF(LEN(B139)=0," ",COUNTA($B$138:B139))</f>
        <v xml:space="preserve"> </v>
      </c>
      <c r="B139" s="72"/>
      <c r="C139" s="66" t="s">
        <v>262</v>
      </c>
      <c r="D139" s="72"/>
      <c r="E139" s="72"/>
      <c r="F139" s="17"/>
      <c r="G139" s="119"/>
      <c r="H139" s="136"/>
      <c r="I139" s="153"/>
      <c r="J139" s="115"/>
    </row>
    <row r="140" spans="1:10" s="123" customFormat="1">
      <c r="A140" s="112">
        <f>IF(LEN(B140)=0," ",COUNTA($B$138:B140))</f>
        <v>1</v>
      </c>
      <c r="B140" s="72">
        <v>1</v>
      </c>
      <c r="C140" s="66" t="s">
        <v>264</v>
      </c>
      <c r="D140" s="72" t="s">
        <v>5</v>
      </c>
      <c r="E140" s="72"/>
      <c r="F140" s="17"/>
      <c r="G140" s="129" t="s">
        <v>397</v>
      </c>
      <c r="H140" s="136">
        <f ca="1">'HO GA'!G32</f>
        <v>0.32000000000000006</v>
      </c>
      <c r="I140" s="153">
        <f ca="1">'HO GA'!I32</f>
        <v>1.2800000000000002</v>
      </c>
      <c r="J140" s="115"/>
    </row>
    <row r="141" spans="1:10" s="123" customFormat="1">
      <c r="A141" s="112">
        <f>IF(LEN(B141)=0," ",COUNTA($B$138:B141))</f>
        <v>2</v>
      </c>
      <c r="B141" s="72">
        <v>1</v>
      </c>
      <c r="C141" s="66" t="s">
        <v>261</v>
      </c>
      <c r="D141" s="72" t="s">
        <v>5</v>
      </c>
      <c r="E141" s="72"/>
      <c r="F141" s="17"/>
      <c r="G141" s="129" t="s">
        <v>397</v>
      </c>
      <c r="H141" s="136">
        <f ca="1">'HO GA'!G33</f>
        <v>0.504</v>
      </c>
      <c r="I141" s="153">
        <f ca="1">'HO GA'!I33</f>
        <v>2.016</v>
      </c>
      <c r="J141" s="115"/>
    </row>
    <row r="142" spans="1:10" s="123" customFormat="1">
      <c r="A142" s="112">
        <f>IF(LEN(B142)=0," ",COUNTA($B$138:B142))</f>
        <v>3</v>
      </c>
      <c r="B142" s="72">
        <v>1</v>
      </c>
      <c r="C142" s="66" t="s">
        <v>259</v>
      </c>
      <c r="D142" s="72" t="s">
        <v>5</v>
      </c>
      <c r="E142" s="72"/>
      <c r="F142" s="17"/>
      <c r="G142" s="129" t="s">
        <v>397</v>
      </c>
      <c r="H142" s="136"/>
      <c r="I142" s="153">
        <f ca="1">'HO GA'!I34</f>
        <v>9.1876352000000008</v>
      </c>
      <c r="J142" s="115"/>
    </row>
    <row r="143" spans="1:10" s="123" customFormat="1">
      <c r="A143" s="148" t="str">
        <f>IF(LEN(B143)=0," ",COUNTA($B$138:B143))</f>
        <v xml:space="preserve"> </v>
      </c>
      <c r="B143" s="141"/>
      <c r="C143" s="163" t="s">
        <v>258</v>
      </c>
      <c r="D143" s="141" t="s">
        <v>5</v>
      </c>
      <c r="E143" s="141"/>
      <c r="F143" s="150"/>
      <c r="G143" s="138" t="s">
        <v>397</v>
      </c>
      <c r="H143" s="160">
        <f ca="1">'HO GA'!G35</f>
        <v>1.4400000000000002</v>
      </c>
      <c r="I143" s="324">
        <f ca="1">'HO GA'!I35</f>
        <v>5.7600000000000007</v>
      </c>
      <c r="J143" s="115"/>
    </row>
    <row r="144" spans="1:10" s="123" customFormat="1">
      <c r="A144" s="148" t="str">
        <f>IF(LEN(B144)=0," ",COUNTA($B$138:B144))</f>
        <v xml:space="preserve"> </v>
      </c>
      <c r="B144" s="141"/>
      <c r="C144" s="149" t="s">
        <v>250</v>
      </c>
      <c r="D144" s="141" t="s">
        <v>5</v>
      </c>
      <c r="E144" s="141"/>
      <c r="F144" s="150"/>
      <c r="G144" s="138" t="s">
        <v>397</v>
      </c>
      <c r="H144" s="160">
        <f ca="1">'HO GA'!G36</f>
        <v>-0.15840000000000001</v>
      </c>
      <c r="I144" s="324">
        <f ca="1">'HO GA'!I36</f>
        <v>-0.63360000000000005</v>
      </c>
      <c r="J144" s="115"/>
    </row>
    <row r="145" spans="1:10" s="123" customFormat="1">
      <c r="A145" s="148" t="str">
        <f>IF(LEN(B145)=0," ",COUNTA($B$138:B145))</f>
        <v xml:space="preserve"> </v>
      </c>
      <c r="B145" s="141"/>
      <c r="C145" s="163" t="s">
        <v>257</v>
      </c>
      <c r="D145" s="141" t="s">
        <v>5</v>
      </c>
      <c r="E145" s="141"/>
      <c r="F145" s="150"/>
      <c r="G145" s="138" t="s">
        <v>397</v>
      </c>
      <c r="H145" s="160">
        <f ca="1">'HO GA'!G37</f>
        <v>0.8</v>
      </c>
      <c r="I145" s="324">
        <f ca="1">'HO GA'!I37</f>
        <v>3.2</v>
      </c>
      <c r="J145" s="115"/>
    </row>
    <row r="146" spans="1:10" s="123" customFormat="1">
      <c r="A146" s="148" t="str">
        <f>IF(LEN(B146)=0," ",COUNTA($B$138:B146))</f>
        <v xml:space="preserve"> </v>
      </c>
      <c r="B146" s="141"/>
      <c r="C146" s="149" t="s">
        <v>247</v>
      </c>
      <c r="D146" s="141" t="s">
        <v>5</v>
      </c>
      <c r="E146" s="141"/>
      <c r="F146" s="150"/>
      <c r="G146" s="138" t="s">
        <v>397</v>
      </c>
      <c r="H146" s="160">
        <f ca="1">'HO GA'!G38</f>
        <v>-0.14469119999999999</v>
      </c>
      <c r="I146" s="324">
        <f ca="1">'HO GA'!I38</f>
        <v>-0.57876479999999997</v>
      </c>
      <c r="J146" s="115"/>
    </row>
    <row r="147" spans="1:10">
      <c r="A147" s="148" t="str">
        <f>IF(LEN(B147)=0," ",COUNTA($B$138:B147))</f>
        <v xml:space="preserve"> </v>
      </c>
      <c r="B147" s="141"/>
      <c r="C147" s="163" t="s">
        <v>256</v>
      </c>
      <c r="D147" s="141" t="s">
        <v>5</v>
      </c>
      <c r="E147" s="141"/>
      <c r="F147" s="150"/>
      <c r="G147" s="138" t="s">
        <v>397</v>
      </c>
      <c r="H147" s="160">
        <f ca="1">'HO GA'!G39</f>
        <v>0.192</v>
      </c>
      <c r="I147" s="324">
        <f ca="1">'HO GA'!I39</f>
        <v>0.76800000000000002</v>
      </c>
      <c r="J147" s="115"/>
    </row>
    <row r="148" spans="1:10" s="123" customFormat="1">
      <c r="A148" s="148" t="str">
        <f>IF(LEN(B148)=0," ",COUNTA($B$138:B148))</f>
        <v xml:space="preserve"> </v>
      </c>
      <c r="B148" s="141"/>
      <c r="C148" s="164" t="s">
        <v>246</v>
      </c>
      <c r="D148" s="141" t="s">
        <v>5</v>
      </c>
      <c r="E148" s="141"/>
      <c r="F148" s="150"/>
      <c r="G148" s="138" t="s">
        <v>397</v>
      </c>
      <c r="H148" s="160">
        <f ca="1">'HO GA'!G40</f>
        <v>0.16800000000000001</v>
      </c>
      <c r="I148" s="324">
        <f ca="1">'HO GA'!I40</f>
        <v>0.67200000000000004</v>
      </c>
      <c r="J148" s="115"/>
    </row>
    <row r="149" spans="1:10" s="123" customFormat="1" hidden="1">
      <c r="A149" s="112" t="str">
        <f>IF(LEN(B149)=0," ",COUNTA($B$138:B149))</f>
        <v xml:space="preserve"> </v>
      </c>
      <c r="B149" s="72"/>
      <c r="C149" s="70" t="s">
        <v>255</v>
      </c>
      <c r="D149" s="72"/>
      <c r="E149" s="72"/>
      <c r="F149" s="17"/>
      <c r="G149" s="119"/>
      <c r="H149" s="136"/>
      <c r="I149" s="153"/>
      <c r="J149" s="115"/>
    </row>
    <row r="150" spans="1:10" s="123" customFormat="1">
      <c r="A150" s="112">
        <f>IF(LEN(B150)=0," ",COUNTA($B$138:B150))</f>
        <v>4</v>
      </c>
      <c r="B150" s="72">
        <v>1</v>
      </c>
      <c r="C150" s="66" t="s">
        <v>435</v>
      </c>
      <c r="D150" s="72" t="s">
        <v>4</v>
      </c>
      <c r="E150" s="72"/>
      <c r="F150" s="17"/>
      <c r="G150" s="129" t="s">
        <v>397</v>
      </c>
      <c r="H150" s="136">
        <f>'HO GA'!G42</f>
        <v>7.2000000000000007E-3</v>
      </c>
      <c r="I150" s="153">
        <f>'HO GA'!I42</f>
        <v>2.8800000000000003E-2</v>
      </c>
      <c r="J150" s="115"/>
    </row>
    <row r="151" spans="1:10" s="123" customFormat="1">
      <c r="A151" s="112">
        <f>IF(LEN(B151)=0," ",COUNTA($B$138:B151))</f>
        <v>5</v>
      </c>
      <c r="B151" s="72">
        <v>1</v>
      </c>
      <c r="C151" s="66" t="s">
        <v>44</v>
      </c>
      <c r="D151" s="72" t="s">
        <v>4</v>
      </c>
      <c r="E151" s="72"/>
      <c r="F151" s="17"/>
      <c r="G151" s="129" t="s">
        <v>397</v>
      </c>
      <c r="H151" s="136">
        <f ca="1">'HO GA'!G43</f>
        <v>1.2800000000000002E-2</v>
      </c>
      <c r="I151" s="153">
        <f ca="1">'HO GA'!I43</f>
        <v>5.1200000000000009E-2</v>
      </c>
      <c r="J151" s="115"/>
    </row>
    <row r="152" spans="1:10" s="166" customFormat="1">
      <c r="A152" s="112">
        <f>IF(LEN(B152)=0," ",COUNTA($B$138:B152))</f>
        <v>6</v>
      </c>
      <c r="B152" s="72">
        <v>1</v>
      </c>
      <c r="C152" s="66" t="s">
        <v>252</v>
      </c>
      <c r="D152" s="72" t="s">
        <v>4</v>
      </c>
      <c r="E152" s="72"/>
      <c r="F152" s="17"/>
      <c r="G152" s="129" t="s">
        <v>397</v>
      </c>
      <c r="H152" s="136"/>
      <c r="I152" s="153">
        <f ca="1">'HO GA'!I44</f>
        <v>0.77796352000000002</v>
      </c>
      <c r="J152" s="165"/>
    </row>
    <row r="153" spans="1:10" s="166" customFormat="1">
      <c r="A153" s="148" t="str">
        <f>IF(LEN(B153)=0," ",COUNTA($B$138:B153))</f>
        <v xml:space="preserve"> </v>
      </c>
      <c r="B153" s="141"/>
      <c r="C153" s="66" t="s">
        <v>251</v>
      </c>
      <c r="D153" s="141" t="s">
        <v>4</v>
      </c>
      <c r="E153" s="141"/>
      <c r="F153" s="150"/>
      <c r="G153" s="147" t="s">
        <v>397</v>
      </c>
      <c r="H153" s="160"/>
      <c r="I153" s="325">
        <f ca="1">'HO GA'!I45</f>
        <v>0.44864000000000004</v>
      </c>
      <c r="J153" s="165"/>
    </row>
    <row r="154" spans="1:10" s="166" customFormat="1">
      <c r="A154" s="148" t="str">
        <f>IF(LEN(B154)=0," ",COUNTA($B$138:B154))</f>
        <v xml:space="preserve"> </v>
      </c>
      <c r="B154" s="141"/>
      <c r="C154" s="163" t="s">
        <v>249</v>
      </c>
      <c r="D154" s="141" t="s">
        <v>4</v>
      </c>
      <c r="E154" s="141"/>
      <c r="F154" s="150"/>
      <c r="G154" s="138" t="s">
        <v>397</v>
      </c>
      <c r="H154" s="160">
        <f ca="1">'HO GA'!G46</f>
        <v>7.2000000000000008E-2</v>
      </c>
      <c r="I154" s="324">
        <f ca="1">'HO GA'!I46</f>
        <v>0.28800000000000003</v>
      </c>
      <c r="J154" s="165"/>
    </row>
    <row r="155" spans="1:10" s="166" customFormat="1">
      <c r="A155" s="148" t="str">
        <f>IF(LEN(B155)=0," ",COUNTA($B$138:B155))</f>
        <v xml:space="preserve"> </v>
      </c>
      <c r="B155" s="141"/>
      <c r="C155" s="163" t="s">
        <v>248</v>
      </c>
      <c r="D155" s="141" t="s">
        <v>4</v>
      </c>
      <c r="E155" s="141"/>
      <c r="F155" s="150"/>
      <c r="G155" s="138" t="s">
        <v>397</v>
      </c>
      <c r="H155" s="160">
        <f ca="1">'HO GA'!G47</f>
        <v>5.5999999999999994E-2</v>
      </c>
      <c r="I155" s="324">
        <f ca="1">'HO GA'!I47</f>
        <v>0.22399999999999998</v>
      </c>
      <c r="J155" s="165"/>
    </row>
    <row r="156" spans="1:10" s="166" customFormat="1">
      <c r="A156" s="148" t="str">
        <f>IF(LEN(B156)=0," ",COUNTA($B$138:B156))</f>
        <v xml:space="preserve"> </v>
      </c>
      <c r="B156" s="141"/>
      <c r="C156" s="149" t="s">
        <v>250</v>
      </c>
      <c r="D156" s="141" t="s">
        <v>4</v>
      </c>
      <c r="E156" s="141"/>
      <c r="F156" s="150"/>
      <c r="G156" s="138" t="s">
        <v>397</v>
      </c>
      <c r="H156" s="160">
        <f ca="1">'HO GA'!G48</f>
        <v>-1.584E-2</v>
      </c>
      <c r="I156" s="324">
        <f ca="1">'HO GA'!I48</f>
        <v>-6.336E-2</v>
      </c>
      <c r="J156" s="165"/>
    </row>
    <row r="157" spans="1:10" s="166" customFormat="1">
      <c r="A157" s="148" t="str">
        <f>IF(LEN(B157)=0," ",COUNTA($B$138:B157))</f>
        <v xml:space="preserve"> </v>
      </c>
      <c r="B157" s="141"/>
      <c r="C157" s="66" t="s">
        <v>432</v>
      </c>
      <c r="D157" s="141" t="s">
        <v>4</v>
      </c>
      <c r="E157" s="141"/>
      <c r="F157" s="150"/>
      <c r="G157" s="147" t="s">
        <v>397</v>
      </c>
      <c r="H157" s="160"/>
      <c r="I157" s="325">
        <f ca="1">'HO GA'!I49</f>
        <v>0.29572352000000002</v>
      </c>
      <c r="J157" s="165"/>
    </row>
    <row r="158" spans="1:10" s="123" customFormat="1">
      <c r="A158" s="148" t="str">
        <f>IF(LEN(B158)=0," ",COUNTA($B$138:B158))</f>
        <v xml:space="preserve"> </v>
      </c>
      <c r="B158" s="141"/>
      <c r="C158" s="163" t="s">
        <v>249</v>
      </c>
      <c r="D158" s="141" t="s">
        <v>4</v>
      </c>
      <c r="E158" s="141"/>
      <c r="F158" s="150"/>
      <c r="G158" s="138" t="s">
        <v>397</v>
      </c>
      <c r="H158" s="160">
        <f ca="1">'HO GA'!G50</f>
        <v>0.04</v>
      </c>
      <c r="I158" s="324">
        <f ca="1">'HO GA'!I50</f>
        <v>0.16</v>
      </c>
      <c r="J158" s="115"/>
    </row>
    <row r="159" spans="1:10">
      <c r="A159" s="148" t="str">
        <f>IF(LEN(B159)=0," ",COUNTA($B$138:B159))</f>
        <v xml:space="preserve"> </v>
      </c>
      <c r="B159" s="141"/>
      <c r="C159" s="163" t="s">
        <v>248</v>
      </c>
      <c r="D159" s="141" t="s">
        <v>4</v>
      </c>
      <c r="E159" s="141"/>
      <c r="F159" s="150"/>
      <c r="G159" s="138" t="s">
        <v>397</v>
      </c>
      <c r="H159" s="160">
        <f ca="1">'HO GA'!G51</f>
        <v>0.04</v>
      </c>
      <c r="I159" s="324">
        <f ca="1">'HO GA'!I51</f>
        <v>0.16</v>
      </c>
      <c r="J159" s="115"/>
    </row>
    <row r="160" spans="1:10">
      <c r="A160" s="148" t="str">
        <f>IF(LEN(B160)=0," ",COUNTA($B$138:B160))</f>
        <v xml:space="preserve"> </v>
      </c>
      <c r="B160" s="141"/>
      <c r="C160" s="149" t="s">
        <v>247</v>
      </c>
      <c r="D160" s="141" t="s">
        <v>4</v>
      </c>
      <c r="E160" s="141"/>
      <c r="F160" s="150"/>
      <c r="G160" s="138" t="s">
        <v>397</v>
      </c>
      <c r="H160" s="160">
        <f ca="1">'HO GA'!G52</f>
        <v>-1.446912E-2</v>
      </c>
      <c r="I160" s="324">
        <f ca="1">'HO GA'!I52</f>
        <v>-5.7876480000000001E-2</v>
      </c>
      <c r="J160" s="115"/>
    </row>
    <row r="161" spans="1:10">
      <c r="A161" s="148" t="str">
        <f>IF(LEN(B161)=0," ",COUNTA($B$138:B161))</f>
        <v xml:space="preserve"> </v>
      </c>
      <c r="B161" s="141"/>
      <c r="C161" s="164" t="s">
        <v>246</v>
      </c>
      <c r="D161" s="141" t="s">
        <v>4</v>
      </c>
      <c r="E161" s="141"/>
      <c r="F161" s="150"/>
      <c r="G161" s="138" t="s">
        <v>397</v>
      </c>
      <c r="H161" s="160">
        <f ca="1">'HO GA'!G53</f>
        <v>8.3999999999999995E-3</v>
      </c>
      <c r="I161" s="324">
        <f ca="1">'HO GA'!I53</f>
        <v>3.3599999999999998E-2</v>
      </c>
      <c r="J161" s="115"/>
    </row>
    <row r="162" spans="1:10" s="109" customFormat="1">
      <c r="A162" s="112" t="str">
        <f>IF(LEN(B162)=0," ",COUNTA($B$138:B162))</f>
        <v xml:space="preserve"> </v>
      </c>
      <c r="B162" s="72"/>
      <c r="C162" s="64" t="s">
        <v>245</v>
      </c>
      <c r="D162" s="307" t="s">
        <v>16</v>
      </c>
      <c r="E162" s="307"/>
      <c r="F162" s="17"/>
      <c r="G162" s="119"/>
      <c r="H162" s="136"/>
      <c r="I162" s="153"/>
      <c r="J162" s="165"/>
    </row>
    <row r="163" spans="1:10" s="109" customFormat="1">
      <c r="A163" s="112">
        <f>IF(LEN(B163)=0," ",COUNTA($B$138:B163))</f>
        <v>7</v>
      </c>
      <c r="B163" s="72">
        <v>1</v>
      </c>
      <c r="C163" s="66" t="s">
        <v>224</v>
      </c>
      <c r="D163" s="72" t="s">
        <v>218</v>
      </c>
      <c r="E163" s="72"/>
      <c r="F163" s="17"/>
      <c r="G163" s="129" t="s">
        <v>345</v>
      </c>
      <c r="H163" s="136">
        <f>'HO GA'!G55</f>
        <v>9.5329999999999998E-2</v>
      </c>
      <c r="I163" s="153">
        <f>'HO GA'!I55</f>
        <v>0.38131999999999999</v>
      </c>
      <c r="J163" s="165"/>
    </row>
    <row r="164" spans="1:10" s="109" customFormat="1">
      <c r="A164" s="112">
        <f>IF(LEN(B164)=0," ",COUNTA($B$138:B164))</f>
        <v>8</v>
      </c>
      <c r="B164" s="72">
        <v>1</v>
      </c>
      <c r="C164" s="66" t="s">
        <v>223</v>
      </c>
      <c r="D164" s="72" t="s">
        <v>218</v>
      </c>
      <c r="E164" s="72"/>
      <c r="F164" s="17"/>
      <c r="G164" s="129" t="s">
        <v>345</v>
      </c>
      <c r="H164" s="136">
        <f>'HO GA'!G56</f>
        <v>0.19005000000000002</v>
      </c>
      <c r="I164" s="153">
        <f>'HO GA'!I56</f>
        <v>0.7602000000000001</v>
      </c>
      <c r="J164" s="165"/>
    </row>
    <row r="165" spans="1:10" s="109" customFormat="1">
      <c r="A165" s="112" t="str">
        <f>IF(LEN(B165)=0," ",COUNTA($B$138:B165))</f>
        <v xml:space="preserve"> </v>
      </c>
      <c r="B165" s="72"/>
      <c r="C165" s="151" t="s">
        <v>244</v>
      </c>
      <c r="D165" s="72"/>
      <c r="E165" s="72"/>
      <c r="F165" s="17"/>
      <c r="G165" s="119"/>
      <c r="H165" s="136"/>
      <c r="I165" s="153"/>
      <c r="J165" s="165"/>
    </row>
    <row r="166" spans="1:10" s="109" customFormat="1">
      <c r="A166" s="112">
        <f>IF(LEN(B166)=0," ",COUNTA($B$138:B166))</f>
        <v>9</v>
      </c>
      <c r="B166" s="72">
        <v>1</v>
      </c>
      <c r="C166" s="66" t="s">
        <v>231</v>
      </c>
      <c r="D166" s="72" t="s">
        <v>5</v>
      </c>
      <c r="E166" s="72"/>
      <c r="F166" s="17"/>
      <c r="G166" s="129" t="s">
        <v>397</v>
      </c>
      <c r="H166" s="136">
        <f ca="1">'HO GA'!G58</f>
        <v>9.9000000000000019E-2</v>
      </c>
      <c r="I166" s="153">
        <f ca="1">'HO GA'!I58</f>
        <v>0.39600000000000007</v>
      </c>
      <c r="J166" s="165"/>
    </row>
    <row r="167" spans="1:10" s="109" customFormat="1">
      <c r="A167" s="112">
        <f>IF(LEN(B167)=0," ",COUNTA($B$138:B167))</f>
        <v>10</v>
      </c>
      <c r="B167" s="72">
        <v>1</v>
      </c>
      <c r="C167" s="65" t="s">
        <v>224</v>
      </c>
      <c r="D167" s="72" t="s">
        <v>218</v>
      </c>
      <c r="E167" s="72"/>
      <c r="F167" s="17"/>
      <c r="G167" s="129" t="s">
        <v>345</v>
      </c>
      <c r="H167" s="136">
        <f>'HO GA'!G59</f>
        <v>6.2200000000000005E-4</v>
      </c>
      <c r="I167" s="153">
        <f>'HO GA'!I59</f>
        <v>2.4880000000000002E-3</v>
      </c>
      <c r="J167" s="165"/>
    </row>
    <row r="168" spans="1:10" s="109" customFormat="1">
      <c r="A168" s="112">
        <f>IF(LEN(B168)=0," ",COUNTA($B$138:B168))</f>
        <v>11</v>
      </c>
      <c r="B168" s="72">
        <v>1</v>
      </c>
      <c r="C168" s="65" t="s">
        <v>223</v>
      </c>
      <c r="D168" s="72" t="s">
        <v>218</v>
      </c>
      <c r="E168" s="72"/>
      <c r="F168" s="17"/>
      <c r="G168" s="129" t="s">
        <v>345</v>
      </c>
      <c r="H168" s="136">
        <f>'HO GA'!G60</f>
        <v>1.7861000000000002E-2</v>
      </c>
      <c r="I168" s="153">
        <f>'HO GA'!I60</f>
        <v>7.1444000000000007E-2</v>
      </c>
      <c r="J168" s="165"/>
    </row>
    <row r="169" spans="1:10" s="109" customFormat="1">
      <c r="A169" s="112">
        <f>IF(LEN(B169)=0," ",COUNTA($B$138:B169))</f>
        <v>12</v>
      </c>
      <c r="B169" s="72">
        <v>1</v>
      </c>
      <c r="C169" s="65" t="s">
        <v>242</v>
      </c>
      <c r="D169" s="72" t="s">
        <v>218</v>
      </c>
      <c r="E169" s="72"/>
      <c r="F169" s="17"/>
      <c r="G169" s="129" t="s">
        <v>345</v>
      </c>
      <c r="H169" s="136">
        <f>'HO GA'!G61</f>
        <v>1.5699999999999999E-2</v>
      </c>
      <c r="I169" s="153">
        <f>'HO GA'!I61</f>
        <v>6.2799999999999995E-2</v>
      </c>
      <c r="J169" s="165"/>
    </row>
    <row r="170" spans="1:10" s="109" customFormat="1">
      <c r="A170" s="112">
        <f>IF(LEN(B170)=0," ",COUNTA($B$138:B170))</f>
        <v>13</v>
      </c>
      <c r="B170" s="72">
        <v>1</v>
      </c>
      <c r="C170" s="65" t="s">
        <v>423</v>
      </c>
      <c r="D170" s="72" t="s">
        <v>4</v>
      </c>
      <c r="E170" s="72"/>
      <c r="F170" s="17"/>
      <c r="G170" s="129" t="s">
        <v>397</v>
      </c>
      <c r="H170" s="136">
        <f ca="1">'HO GA'!G62</f>
        <v>4.0000000000000001E-3</v>
      </c>
      <c r="I170" s="153">
        <f ca="1">'HO GA'!I62</f>
        <v>1.6E-2</v>
      </c>
      <c r="J170" s="165"/>
    </row>
    <row r="171" spans="1:10" s="123" customFormat="1">
      <c r="A171" s="112" t="str">
        <f>IF(LEN(B171)=0," ",COUNTA($B$138:B171))</f>
        <v xml:space="preserve"> </v>
      </c>
      <c r="B171" s="72"/>
      <c r="C171" s="151" t="s">
        <v>240</v>
      </c>
      <c r="D171" s="72"/>
      <c r="E171" s="72"/>
      <c r="F171" s="17"/>
      <c r="G171" s="119"/>
      <c r="H171" s="136"/>
      <c r="I171" s="153"/>
      <c r="J171" s="115"/>
    </row>
    <row r="172" spans="1:10" s="123" customFormat="1">
      <c r="A172" s="112">
        <f>IF(LEN(B172)=0," ",COUNTA($B$138:B172))</f>
        <v>14</v>
      </c>
      <c r="B172" s="72">
        <v>1</v>
      </c>
      <c r="C172" s="66" t="s">
        <v>239</v>
      </c>
      <c r="D172" s="72" t="s">
        <v>4</v>
      </c>
      <c r="E172" s="72"/>
      <c r="F172" s="17"/>
      <c r="G172" s="129" t="s">
        <v>397</v>
      </c>
      <c r="H172" s="136"/>
      <c r="I172" s="153">
        <f ca="1">'HO GA'!I64</f>
        <v>7.5200000000000003E-2</v>
      </c>
      <c r="J172" s="115"/>
    </row>
    <row r="173" spans="1:10" s="123" customFormat="1">
      <c r="A173" s="148" t="str">
        <f>IF(LEN(B173)=0," ",COUNTA($B$138:B173))</f>
        <v xml:space="preserve"> </v>
      </c>
      <c r="B173" s="141"/>
      <c r="C173" s="149" t="s">
        <v>238</v>
      </c>
      <c r="D173" s="141" t="s">
        <v>4</v>
      </c>
      <c r="E173" s="141"/>
      <c r="F173" s="150"/>
      <c r="G173" s="138" t="s">
        <v>397</v>
      </c>
      <c r="H173" s="160">
        <f ca="1">'HO GA'!G65</f>
        <v>1.12E-2</v>
      </c>
      <c r="I173" s="324">
        <f ca="1">'HO GA'!I65</f>
        <v>4.48E-2</v>
      </c>
      <c r="J173" s="115"/>
    </row>
    <row r="174" spans="1:10" s="123" customFormat="1">
      <c r="A174" s="148" t="str">
        <f>IF(LEN(B174)=0," ",COUNTA($B$138:B174))</f>
        <v xml:space="preserve"> </v>
      </c>
      <c r="B174" s="141"/>
      <c r="C174" s="149" t="s">
        <v>236</v>
      </c>
      <c r="D174" s="141" t="s">
        <v>4</v>
      </c>
      <c r="E174" s="141"/>
      <c r="F174" s="150"/>
      <c r="G174" s="138" t="s">
        <v>397</v>
      </c>
      <c r="H174" s="160">
        <f ca="1">'HO GA'!G66</f>
        <v>4.0000000000000001E-3</v>
      </c>
      <c r="I174" s="324">
        <f ca="1">'HO GA'!I66</f>
        <v>1.6E-2</v>
      </c>
      <c r="J174" s="115"/>
    </row>
    <row r="175" spans="1:10" s="123" customFormat="1">
      <c r="A175" s="148" t="str">
        <f>IF(LEN(B175)=0," ",COUNTA($B$138:B175))</f>
        <v xml:space="preserve"> </v>
      </c>
      <c r="B175" s="141"/>
      <c r="C175" s="149" t="s">
        <v>234</v>
      </c>
      <c r="D175" s="141" t="s">
        <v>4</v>
      </c>
      <c r="E175" s="141"/>
      <c r="F175" s="150"/>
      <c r="G175" s="138" t="s">
        <v>397</v>
      </c>
      <c r="H175" s="160">
        <f ca="1">'HO GA'!G67</f>
        <v>3.6000000000000003E-3</v>
      </c>
      <c r="I175" s="324">
        <f ca="1">'HO GA'!I67</f>
        <v>1.4400000000000001E-2</v>
      </c>
      <c r="J175" s="115"/>
    </row>
    <row r="176" spans="1:10" s="123" customFormat="1">
      <c r="A176" s="112">
        <f>IF(LEN(B176)=0," ",COUNTA($B$138:B176))</f>
        <v>15</v>
      </c>
      <c r="B176" s="72">
        <v>1</v>
      </c>
      <c r="C176" s="66" t="s">
        <v>231</v>
      </c>
      <c r="D176" s="72" t="s">
        <v>5</v>
      </c>
      <c r="E176" s="72"/>
      <c r="F176" s="17"/>
      <c r="G176" s="129" t="s">
        <v>397</v>
      </c>
      <c r="H176" s="136"/>
      <c r="I176" s="153">
        <f t="shared" ref="I176:I185" si="5">H176</f>
        <v>0</v>
      </c>
      <c r="J176" s="115"/>
    </row>
    <row r="177" spans="1:10" s="123" customFormat="1">
      <c r="A177" s="148" t="str">
        <f>IF(LEN(B177)=0," ",COUNTA($B$138:B177))</f>
        <v xml:space="preserve"> </v>
      </c>
      <c r="B177" s="141"/>
      <c r="C177" s="149" t="s">
        <v>230</v>
      </c>
      <c r="D177" s="141" t="s">
        <v>5</v>
      </c>
      <c r="E177" s="141"/>
      <c r="F177" s="150"/>
      <c r="G177" s="138" t="s">
        <v>397</v>
      </c>
      <c r="H177" s="160">
        <f ca="1">'HO GA'!G69</f>
        <v>0.33600000000000002</v>
      </c>
      <c r="I177" s="324">
        <f ca="1">'HO GA'!I69</f>
        <v>1.3440000000000001</v>
      </c>
      <c r="J177" s="115"/>
    </row>
    <row r="178" spans="1:10" s="123" customFormat="1">
      <c r="A178" s="148" t="str">
        <f>IF(LEN(B178)=0," ",COUNTA($B$138:B178))</f>
        <v xml:space="preserve"> </v>
      </c>
      <c r="B178" s="141"/>
      <c r="C178" s="149" t="s">
        <v>228</v>
      </c>
      <c r="D178" s="141" t="s">
        <v>5</v>
      </c>
      <c r="E178" s="141"/>
      <c r="F178" s="150"/>
      <c r="G178" s="138" t="s">
        <v>397</v>
      </c>
      <c r="H178" s="160">
        <f ca="1">'HO GA'!G70</f>
        <v>-9.9000000000000019E-2</v>
      </c>
      <c r="I178" s="324">
        <f ca="1">'HO GA'!I70</f>
        <v>-0.39600000000000007</v>
      </c>
      <c r="J178" s="115"/>
    </row>
    <row r="179" spans="1:10" s="123" customFormat="1">
      <c r="A179" s="148" t="str">
        <f>IF(LEN(B179)=0," ",COUNTA($B$138:B179))</f>
        <v xml:space="preserve"> </v>
      </c>
      <c r="B179" s="141"/>
      <c r="C179" s="149" t="s">
        <v>226</v>
      </c>
      <c r="D179" s="141" t="s">
        <v>5</v>
      </c>
      <c r="E179" s="141"/>
      <c r="F179" s="150"/>
      <c r="G179" s="138" t="s">
        <v>397</v>
      </c>
      <c r="H179" s="160">
        <f ca="1">'HO GA'!G71</f>
        <v>-8.0000000000000016E-2</v>
      </c>
      <c r="I179" s="324">
        <f ca="1">'HO GA'!I71</f>
        <v>-0.32000000000000006</v>
      </c>
      <c r="J179" s="115"/>
    </row>
    <row r="180" spans="1:10" s="123" customFormat="1">
      <c r="A180" s="112">
        <f>IF(LEN(B180)=0," ",COUNTA($B$138:B180))</f>
        <v>16</v>
      </c>
      <c r="B180" s="72">
        <v>1</v>
      </c>
      <c r="C180" s="66" t="s">
        <v>224</v>
      </c>
      <c r="D180" s="72" t="s">
        <v>10</v>
      </c>
      <c r="E180" s="72"/>
      <c r="F180" s="17"/>
      <c r="G180" s="129" t="s">
        <v>397</v>
      </c>
      <c r="H180" s="136">
        <f>'HO GA'!G72</f>
        <v>4.9900000000000005E-3</v>
      </c>
      <c r="I180" s="153">
        <f>'HO GA'!I72</f>
        <v>1.9960000000000002E-2</v>
      </c>
      <c r="J180" s="115"/>
    </row>
    <row r="181" spans="1:10">
      <c r="A181" s="112">
        <f>IF(LEN(B181)=0," ",COUNTA($B$138:B181))</f>
        <v>17</v>
      </c>
      <c r="B181" s="72">
        <v>1</v>
      </c>
      <c r="C181" s="66" t="s">
        <v>223</v>
      </c>
      <c r="D181" s="72" t="s">
        <v>10</v>
      </c>
      <c r="E181" s="72"/>
      <c r="F181" s="17"/>
      <c r="G181" s="129" t="s">
        <v>397</v>
      </c>
      <c r="H181" s="136">
        <f>'HO GA'!G73</f>
        <v>2.2200000000000001E-2</v>
      </c>
      <c r="I181" s="153">
        <f>'HO GA'!I73</f>
        <v>8.8800000000000004E-2</v>
      </c>
      <c r="J181" s="115"/>
    </row>
    <row r="182" spans="1:10" s="109" customFormat="1">
      <c r="A182" s="112">
        <f>IF(LEN(B182)=0," ",COUNTA($B$138:B182))</f>
        <v>18</v>
      </c>
      <c r="B182" s="72">
        <v>1</v>
      </c>
      <c r="C182" s="66" t="s">
        <v>222</v>
      </c>
      <c r="D182" s="72" t="s">
        <v>10</v>
      </c>
      <c r="E182" s="72"/>
      <c r="F182" s="17"/>
      <c r="G182" s="129" t="s">
        <v>397</v>
      </c>
      <c r="H182" s="136">
        <f>'HO GA'!G74</f>
        <v>2.2200000000000001E-2</v>
      </c>
      <c r="I182" s="153">
        <f>'HO GA'!I74</f>
        <v>8.8800000000000004E-2</v>
      </c>
      <c r="J182" s="165"/>
    </row>
    <row r="183" spans="1:10" s="109" customFormat="1">
      <c r="A183" s="112">
        <f>IF(LEN(B183)=0," ",COUNTA($B$138:B183))</f>
        <v>19</v>
      </c>
      <c r="B183" s="72">
        <v>1</v>
      </c>
      <c r="C183" s="66" t="s">
        <v>221</v>
      </c>
      <c r="D183" s="72" t="s">
        <v>2</v>
      </c>
      <c r="E183" s="72"/>
      <c r="F183" s="17"/>
      <c r="G183" s="129" t="s">
        <v>397</v>
      </c>
      <c r="H183" s="136">
        <f>'HO GA'!G75</f>
        <v>2.9</v>
      </c>
      <c r="I183" s="153">
        <f>'HO GA'!I75</f>
        <v>11.6</v>
      </c>
      <c r="J183" s="165"/>
    </row>
    <row r="184" spans="1:10" s="109" customFormat="1">
      <c r="A184" s="112">
        <f>IF(LEN(B184)=0," ",COUNTA($B$138:B184))</f>
        <v>20</v>
      </c>
      <c r="B184" s="72">
        <v>1</v>
      </c>
      <c r="C184" s="66" t="s">
        <v>385</v>
      </c>
      <c r="D184" s="72" t="s">
        <v>384</v>
      </c>
      <c r="E184" s="72"/>
      <c r="F184" s="17"/>
      <c r="G184" s="129" t="s">
        <v>397</v>
      </c>
      <c r="H184" s="136">
        <v>4</v>
      </c>
      <c r="I184" s="153">
        <f t="shared" si="5"/>
        <v>4</v>
      </c>
      <c r="J184" s="165"/>
    </row>
    <row r="185" spans="1:10">
      <c r="A185" s="112">
        <f>IF(LEN(B185)=0," ",COUNTA($B$138:B185))</f>
        <v>21</v>
      </c>
      <c r="B185" s="72">
        <v>1</v>
      </c>
      <c r="C185" s="66" t="s">
        <v>386</v>
      </c>
      <c r="D185" s="72" t="s">
        <v>24</v>
      </c>
      <c r="E185" s="72"/>
      <c r="F185" s="17"/>
      <c r="G185" s="129" t="s">
        <v>397</v>
      </c>
      <c r="H185" s="136">
        <v>4</v>
      </c>
      <c r="I185" s="153">
        <f t="shared" si="5"/>
        <v>4</v>
      </c>
      <c r="J185" s="115"/>
    </row>
    <row r="186" spans="1:10" s="109" customFormat="1">
      <c r="A186" s="118" t="s">
        <v>465</v>
      </c>
      <c r="B186" s="72"/>
      <c r="C186" s="64" t="s">
        <v>220</v>
      </c>
      <c r="D186" s="72"/>
      <c r="E186" s="72"/>
      <c r="F186" s="17"/>
      <c r="G186" s="119"/>
      <c r="H186" s="136"/>
      <c r="I186" s="153"/>
      <c r="J186" s="165"/>
    </row>
    <row r="187" spans="1:10" s="109" customFormat="1">
      <c r="A187" s="112">
        <f>IF(LEN(B187)=0," ",COUNTA($B$138:B187))</f>
        <v>22</v>
      </c>
      <c r="B187" s="72">
        <v>1</v>
      </c>
      <c r="C187" s="66" t="s">
        <v>219</v>
      </c>
      <c r="D187" s="72" t="s">
        <v>218</v>
      </c>
      <c r="E187" s="72"/>
      <c r="F187" s="17"/>
      <c r="G187" s="129" t="s">
        <v>345</v>
      </c>
      <c r="H187" s="136">
        <f>'HO GA'!G77</f>
        <v>0.142785</v>
      </c>
      <c r="I187" s="153">
        <f>'HO GA'!I77</f>
        <v>0.57113999999999998</v>
      </c>
      <c r="J187" s="165"/>
    </row>
    <row r="188" spans="1:10" s="109" customFormat="1">
      <c r="A188" s="112">
        <f>IF(LEN(B188)=0," ",COUNTA($B$138:B188))</f>
        <v>23</v>
      </c>
      <c r="B188" s="72">
        <v>1</v>
      </c>
      <c r="C188" s="66" t="s">
        <v>217</v>
      </c>
      <c r="D188" s="147" t="s">
        <v>215</v>
      </c>
      <c r="E188" s="147"/>
      <c r="F188" s="17"/>
      <c r="G188" s="129" t="s">
        <v>345</v>
      </c>
      <c r="H188" s="136">
        <f>'HO GA'!G78</f>
        <v>4</v>
      </c>
      <c r="I188" s="153">
        <f>'HO GA'!I78</f>
        <v>16</v>
      </c>
      <c r="J188" s="165"/>
    </row>
    <row r="189" spans="1:10">
      <c r="A189" s="112">
        <f>IF(LEN(B189)=0," ",COUNTA($B$138:B189))</f>
        <v>24</v>
      </c>
      <c r="B189" s="72">
        <v>1</v>
      </c>
      <c r="C189" s="66" t="s">
        <v>216</v>
      </c>
      <c r="D189" s="147" t="s">
        <v>215</v>
      </c>
      <c r="E189" s="147"/>
      <c r="F189" s="17"/>
      <c r="G189" s="129" t="s">
        <v>345</v>
      </c>
      <c r="H189" s="136">
        <f>'HO GA'!G79</f>
        <v>18</v>
      </c>
      <c r="I189" s="153">
        <f>'HO GA'!I79</f>
        <v>72</v>
      </c>
      <c r="J189" s="115"/>
    </row>
    <row r="190" spans="1:10">
      <c r="A190" s="112">
        <f>IF(LEN(B190)=0," ",COUNTA($B$138:B190))</f>
        <v>25</v>
      </c>
      <c r="B190" s="72">
        <v>1</v>
      </c>
      <c r="C190" s="66" t="s">
        <v>214</v>
      </c>
      <c r="D190" s="147" t="s">
        <v>0</v>
      </c>
      <c r="E190" s="147"/>
      <c r="F190" s="17"/>
      <c r="G190" s="129" t="s">
        <v>345</v>
      </c>
      <c r="H190" s="136">
        <f>'HO GA'!G80</f>
        <v>0.22109999999999999</v>
      </c>
      <c r="I190" s="153">
        <f>'HO GA'!I80</f>
        <v>0.88439999999999996</v>
      </c>
      <c r="J190" s="115"/>
    </row>
    <row r="191" spans="1:10">
      <c r="A191" s="118" t="s">
        <v>465</v>
      </c>
      <c r="B191" s="72"/>
      <c r="C191" s="64" t="s">
        <v>295</v>
      </c>
      <c r="D191" s="137"/>
      <c r="E191" s="269"/>
      <c r="F191" s="145"/>
      <c r="G191" s="146"/>
      <c r="H191" s="161"/>
      <c r="I191" s="162"/>
      <c r="J191" s="115"/>
    </row>
    <row r="192" spans="1:10">
      <c r="A192" s="112" t="str">
        <f>IF(LEN(B192)=0," ",COUNTA($B$138:B192))</f>
        <v xml:space="preserve"> </v>
      </c>
      <c r="B192" s="72"/>
      <c r="C192" s="64" t="s">
        <v>296</v>
      </c>
      <c r="D192" s="307" t="s">
        <v>5</v>
      </c>
      <c r="E192" s="307"/>
      <c r="F192" s="17"/>
      <c r="G192" s="119"/>
      <c r="H192" s="136"/>
      <c r="I192" s="153"/>
      <c r="J192" s="115"/>
    </row>
    <row r="193" spans="1:10">
      <c r="A193" s="112">
        <f>IF(LEN(B193)=0," ",COUNTA($B$138:B193))</f>
        <v>26</v>
      </c>
      <c r="B193" s="72">
        <v>1</v>
      </c>
      <c r="C193" s="66" t="s">
        <v>297</v>
      </c>
      <c r="D193" s="72" t="s">
        <v>5</v>
      </c>
      <c r="E193" s="72"/>
      <c r="F193" s="29"/>
      <c r="G193" s="129" t="s">
        <v>345</v>
      </c>
      <c r="H193" s="136">
        <f>MUONG!G32</f>
        <v>0.47</v>
      </c>
      <c r="I193" s="153">
        <f>MUONG!I32</f>
        <v>33.839999999999996</v>
      </c>
      <c r="J193" s="115"/>
    </row>
    <row r="194" spans="1:10">
      <c r="A194" s="112">
        <f>IF(LEN(B194)=0," ",COUNTA($B$138:B194))</f>
        <v>27</v>
      </c>
      <c r="B194" s="72">
        <v>1</v>
      </c>
      <c r="C194" s="66" t="s">
        <v>402</v>
      </c>
      <c r="D194" s="72" t="s">
        <v>5</v>
      </c>
      <c r="E194" s="72"/>
      <c r="F194" s="29"/>
      <c r="G194" s="129" t="s">
        <v>345</v>
      </c>
      <c r="H194" s="136">
        <f>MUONG!G33</f>
        <v>1.18</v>
      </c>
      <c r="I194" s="153">
        <f>MUONG!I33</f>
        <v>84.96</v>
      </c>
      <c r="J194" s="115"/>
    </row>
    <row r="195" spans="1:10">
      <c r="A195" s="112" t="str">
        <f>IF(LEN(B195)=0," ",COUNTA($B$138:B195))</f>
        <v xml:space="preserve"> </v>
      </c>
      <c r="B195" s="72"/>
      <c r="C195" s="64" t="s">
        <v>301</v>
      </c>
      <c r="D195" s="72" t="s">
        <v>4</v>
      </c>
      <c r="E195" s="72"/>
      <c r="F195" s="29"/>
      <c r="G195" s="119"/>
      <c r="H195" s="136"/>
      <c r="I195" s="153"/>
      <c r="J195" s="115"/>
    </row>
    <row r="196" spans="1:10">
      <c r="A196" s="112">
        <f>IF(LEN(B196)=0," ",COUNTA($B$138:B196))</f>
        <v>28</v>
      </c>
      <c r="B196" s="72">
        <v>1</v>
      </c>
      <c r="C196" s="66" t="s">
        <v>435</v>
      </c>
      <c r="D196" s="72" t="s">
        <v>4</v>
      </c>
      <c r="E196" s="72"/>
      <c r="F196" s="29"/>
      <c r="G196" s="129" t="s">
        <v>345</v>
      </c>
      <c r="H196" s="136">
        <f>MUONG!G36</f>
        <v>1.34E-2</v>
      </c>
      <c r="I196" s="153">
        <f>MUONG!I36</f>
        <v>0.96479999999999999</v>
      </c>
      <c r="J196" s="115"/>
    </row>
    <row r="197" spans="1:10">
      <c r="A197" s="112">
        <f>IF(LEN(B197)=0," ",COUNTA($B$138:B197))</f>
        <v>29</v>
      </c>
      <c r="B197" s="72">
        <v>1</v>
      </c>
      <c r="C197" s="66" t="s">
        <v>298</v>
      </c>
      <c r="D197" s="72" t="s">
        <v>4</v>
      </c>
      <c r="E197" s="72"/>
      <c r="F197" s="29"/>
      <c r="G197" s="129" t="s">
        <v>345</v>
      </c>
      <c r="H197" s="136">
        <f>MUONG!G35</f>
        <v>0.1855</v>
      </c>
      <c r="I197" s="153">
        <f>MUONG!I35</f>
        <v>13.356</v>
      </c>
      <c r="J197" s="115"/>
    </row>
    <row r="198" spans="1:10">
      <c r="A198" s="112" t="str">
        <f>IF(LEN(B198)=0," ",COUNTA($B$138:B198))</f>
        <v xml:space="preserve"> </v>
      </c>
      <c r="B198" s="72"/>
      <c r="C198" s="64" t="s">
        <v>299</v>
      </c>
      <c r="D198" s="72"/>
      <c r="E198" s="72"/>
      <c r="F198" s="29"/>
      <c r="G198" s="119"/>
      <c r="H198" s="136"/>
      <c r="I198" s="153"/>
      <c r="J198" s="115"/>
    </row>
    <row r="199" spans="1:10">
      <c r="A199" s="112">
        <f>IF(LEN(B199)=0," ",COUNTA($B$138:B199))</f>
        <v>30</v>
      </c>
      <c r="B199" s="72">
        <v>1</v>
      </c>
      <c r="C199" s="66" t="s">
        <v>224</v>
      </c>
      <c r="D199" s="72" t="s">
        <v>10</v>
      </c>
      <c r="E199" s="72"/>
      <c r="F199" s="29"/>
      <c r="G199" s="129" t="s">
        <v>345</v>
      </c>
      <c r="H199" s="136">
        <f>MUONG!G38</f>
        <v>0.10325000000000001</v>
      </c>
      <c r="I199" s="153">
        <f>MUONG!I38</f>
        <v>7.4340000000000011</v>
      </c>
      <c r="J199" s="115"/>
    </row>
    <row r="200" spans="1:10" s="123" customFormat="1">
      <c r="A200" s="112" t="str">
        <f>IF(LEN(B200)=0," ",COUNTA($B$138:B200))</f>
        <v xml:space="preserve"> </v>
      </c>
      <c r="B200" s="72"/>
      <c r="C200" s="64" t="s">
        <v>244</v>
      </c>
      <c r="D200" s="72"/>
      <c r="E200" s="72"/>
      <c r="F200" s="29"/>
      <c r="G200" s="119"/>
      <c r="H200" s="136"/>
      <c r="I200" s="153"/>
      <c r="J200" s="115"/>
    </row>
    <row r="201" spans="1:10" s="123" customFormat="1">
      <c r="A201" s="112">
        <f>IF(LEN(B201)=0," ",COUNTA($B$138:B201))</f>
        <v>31</v>
      </c>
      <c r="B201" s="72">
        <v>1</v>
      </c>
      <c r="C201" s="65" t="s">
        <v>265</v>
      </c>
      <c r="D201" s="72" t="s">
        <v>5</v>
      </c>
      <c r="E201" s="72"/>
      <c r="F201" s="29"/>
      <c r="G201" s="72" t="s">
        <v>397</v>
      </c>
      <c r="H201" s="136">
        <f ca="1">MUONG!G40</f>
        <v>3.9199999999999999E-2</v>
      </c>
      <c r="I201" s="153">
        <f ca="1">MUONG!I40</f>
        <v>16.542400000000001</v>
      </c>
      <c r="J201" s="115"/>
    </row>
    <row r="202" spans="1:10" s="123" customFormat="1">
      <c r="A202" s="112">
        <f>IF(LEN(B202)=0," ",COUNTA($B$138:B202))</f>
        <v>32</v>
      </c>
      <c r="B202" s="72">
        <v>1</v>
      </c>
      <c r="C202" s="65" t="s">
        <v>224</v>
      </c>
      <c r="D202" s="72" t="s">
        <v>10</v>
      </c>
      <c r="E202" s="72"/>
      <c r="F202" s="29"/>
      <c r="G202" s="129" t="s">
        <v>345</v>
      </c>
      <c r="H202" s="136">
        <f>MUONG!G41</f>
        <v>3.3300000000000001E-3</v>
      </c>
      <c r="I202" s="153">
        <f>MUONG!I41</f>
        <v>1.40526</v>
      </c>
      <c r="J202" s="115"/>
    </row>
    <row r="203" spans="1:10" s="123" customFormat="1">
      <c r="A203" s="112">
        <f>IF(LEN(B203)=0," ",COUNTA($B$138:B203))</f>
        <v>33</v>
      </c>
      <c r="B203" s="72">
        <v>1</v>
      </c>
      <c r="C203" s="65" t="s">
        <v>241</v>
      </c>
      <c r="D203" s="72" t="s">
        <v>4</v>
      </c>
      <c r="E203" s="72"/>
      <c r="F203" s="29"/>
      <c r="G203" s="129" t="s">
        <v>345</v>
      </c>
      <c r="H203" s="136">
        <f>MUONG!G42</f>
        <v>2.3999999999999998E-3</v>
      </c>
      <c r="I203" s="153">
        <f>MUONG!I42</f>
        <v>1.0127999999999999</v>
      </c>
      <c r="J203" s="115"/>
    </row>
    <row r="204" spans="1:10" s="123" customFormat="1" ht="16.2" thickBot="1">
      <c r="A204" s="135">
        <f>IF(LEN(B204)=0," ",COUNTA($B$138:B204))</f>
        <v>34</v>
      </c>
      <c r="B204" s="326">
        <v>1</v>
      </c>
      <c r="C204" s="327" t="s">
        <v>418</v>
      </c>
      <c r="D204" s="326" t="s">
        <v>384</v>
      </c>
      <c r="E204" s="326"/>
      <c r="F204" s="328"/>
      <c r="G204" s="329"/>
      <c r="H204" s="329"/>
      <c r="I204" s="330">
        <v>385</v>
      </c>
      <c r="J204" s="115"/>
    </row>
    <row r="205" spans="1:10" s="123" customFormat="1" ht="16.2" thickTop="1">
      <c r="A205" s="78"/>
      <c r="B205" s="78"/>
      <c r="C205" s="78"/>
      <c r="D205" s="78"/>
      <c r="E205" s="270"/>
      <c r="F205" s="78"/>
      <c r="G205" s="108"/>
      <c r="H205" s="108"/>
      <c r="I205" s="108"/>
      <c r="J205" s="115"/>
    </row>
    <row r="206" spans="1:10" s="123" customFormat="1">
      <c r="A206" s="78"/>
      <c r="B206" s="78"/>
      <c r="C206" s="78"/>
      <c r="D206" s="78"/>
      <c r="E206" s="270"/>
      <c r="F206" s="78"/>
      <c r="G206" s="108"/>
      <c r="H206" s="108"/>
      <c r="I206" s="108"/>
      <c r="J206" s="115"/>
    </row>
    <row r="207" spans="1:10" s="123" customFormat="1">
      <c r="A207" s="78"/>
      <c r="B207" s="78"/>
      <c r="C207" s="78"/>
      <c r="D207" s="78"/>
      <c r="E207" s="270"/>
      <c r="F207" s="78"/>
      <c r="G207" s="108"/>
      <c r="H207" s="108"/>
      <c r="I207" s="108"/>
      <c r="J207" s="115"/>
    </row>
    <row r="208" spans="1:10" s="123" customFormat="1">
      <c r="A208" s="78"/>
      <c r="B208" s="78"/>
      <c r="C208" s="78"/>
      <c r="D208" s="78"/>
      <c r="E208" s="270"/>
      <c r="F208" s="78"/>
      <c r="G208" s="108"/>
      <c r="H208" s="108"/>
      <c r="I208" s="108"/>
      <c r="J208" s="115"/>
    </row>
    <row r="209" spans="1:10" s="123" customFormat="1">
      <c r="A209" s="78"/>
      <c r="B209" s="78"/>
      <c r="C209" s="78"/>
      <c r="D209" s="78"/>
      <c r="E209" s="270"/>
      <c r="F209" s="78"/>
      <c r="G209" s="108"/>
      <c r="H209" s="108"/>
      <c r="I209" s="108"/>
      <c r="J209" s="115"/>
    </row>
    <row r="210" spans="1:10" s="123" customFormat="1">
      <c r="A210" s="78"/>
      <c r="B210" s="78"/>
      <c r="C210" s="78"/>
      <c r="D210" s="78"/>
      <c r="E210" s="270"/>
      <c r="F210" s="78"/>
      <c r="G210" s="108"/>
      <c r="H210" s="108"/>
      <c r="I210" s="108"/>
      <c r="J210" s="115"/>
    </row>
    <row r="211" spans="1:10" s="123" customFormat="1">
      <c r="A211" s="78"/>
      <c r="B211" s="78"/>
      <c r="C211" s="78"/>
      <c r="D211" s="78"/>
      <c r="E211" s="270"/>
      <c r="F211" s="78"/>
      <c r="G211" s="108"/>
      <c r="H211" s="108"/>
      <c r="I211" s="108"/>
      <c r="J211" s="115"/>
    </row>
    <row r="212" spans="1:10" s="123" customFormat="1">
      <c r="A212" s="78"/>
      <c r="B212" s="78"/>
      <c r="C212" s="78"/>
      <c r="D212" s="78"/>
      <c r="E212" s="270"/>
      <c r="F212" s="78"/>
      <c r="G212" s="108"/>
      <c r="H212" s="108"/>
      <c r="I212" s="108"/>
      <c r="J212" s="115"/>
    </row>
    <row r="213" spans="1:10" s="123" customFormat="1">
      <c r="A213" s="78"/>
      <c r="B213" s="78"/>
      <c r="C213" s="78"/>
      <c r="D213" s="78"/>
      <c r="E213" s="270"/>
      <c r="F213" s="78"/>
      <c r="G213" s="108"/>
      <c r="H213" s="108"/>
      <c r="I213" s="108"/>
      <c r="J213" s="115"/>
    </row>
    <row r="214" spans="1:10">
      <c r="J214" s="123"/>
    </row>
  </sheetData>
  <mergeCells count="3">
    <mergeCell ref="A1:I1"/>
    <mergeCell ref="A2:I2"/>
    <mergeCell ref="A3:I3"/>
  </mergeCells>
  <conditionalFormatting sqref="A7:I7 A89:C89 F89:I89 A30:E30 A191:I192 A97:B98 A96:I96 A90:B95 A32:I32 I43 I62 A99:I99 F18 A29:H29 A31:D31 A51:I52 A53:F61 A62:E62 G62 A70:I71 F90:F95 H97:I98 D97:F98 A204:I204 A201:F203 H201:I203 A193:F194 A200:I200 A199:F199 H199:I199 A112:I112 B172:F185 H172:I172 H176:I176 B166:F166 H166:I166 B141:F148 B140 D140:F140 B138:I139 A137:I137 H33:I42 H44:I50 H53:I61 H63:I69 H140:I142 B162:I165 B167:I171 H180:I185 B186:I190 H193:I194 B149:I149 B150:F161 H150:I152 A138:A204 A195:I198 D89:E95 E72:F88 A72:B88 G78:G88 H72:H88 A8:E25 G9:G10 D123:F123 C27:I28 H90:I95 A100:F111 H100:I111 A113:F122 G113:I123 A26:B28 I18:I31 A33:F50 A63:F69 A123:B136 H124:I136">
    <cfRule type="expression" dxfId="299" priority="240">
      <formula>$A7=""</formula>
    </cfRule>
  </conditionalFormatting>
  <conditionalFormatting sqref="F25">
    <cfRule type="expression" dxfId="298" priority="233">
      <formula>$A25=""</formula>
    </cfRule>
  </conditionalFormatting>
  <conditionalFormatting sqref="F20">
    <cfRule type="expression" dxfId="297" priority="231">
      <formula>$A20=""</formula>
    </cfRule>
  </conditionalFormatting>
  <conditionalFormatting sqref="F30">
    <cfRule type="expression" dxfId="296" priority="228">
      <formula>$A30=""</formula>
    </cfRule>
  </conditionalFormatting>
  <conditionalFormatting sqref="C97">
    <cfRule type="expression" dxfId="295" priority="210">
      <formula>$A97=""</formula>
    </cfRule>
  </conditionalFormatting>
  <conditionalFormatting sqref="C90:C91">
    <cfRule type="expression" dxfId="294" priority="363">
      <formula>$A112=""</formula>
    </cfRule>
  </conditionalFormatting>
  <conditionalFormatting sqref="E15">
    <cfRule type="expression" dxfId="293" priority="198">
      <formula>$A15=""</formula>
    </cfRule>
  </conditionalFormatting>
  <conditionalFormatting sqref="C26:F26">
    <cfRule type="expression" dxfId="292" priority="201">
      <formula>$A26=""</formula>
    </cfRule>
  </conditionalFormatting>
  <conditionalFormatting sqref="F22:F23">
    <cfRule type="expression" dxfId="291" priority="187">
      <formula>$A22=""</formula>
    </cfRule>
  </conditionalFormatting>
  <conditionalFormatting sqref="H22:H23">
    <cfRule type="expression" dxfId="290" priority="185">
      <formula>$A22=""</formula>
    </cfRule>
  </conditionalFormatting>
  <conditionalFormatting sqref="E16">
    <cfRule type="expression" dxfId="289" priority="196">
      <formula>$A16=""</formula>
    </cfRule>
  </conditionalFormatting>
  <conditionalFormatting sqref="G24">
    <cfRule type="expression" dxfId="288" priority="183">
      <formula>$A24=""</formula>
    </cfRule>
  </conditionalFormatting>
  <conditionalFormatting sqref="G14:G16">
    <cfRule type="expression" dxfId="287" priority="194">
      <formula>$A14=""</formula>
    </cfRule>
  </conditionalFormatting>
  <conditionalFormatting sqref="G18">
    <cfRule type="expression" dxfId="286" priority="193">
      <formula>$A18=""</formula>
    </cfRule>
  </conditionalFormatting>
  <conditionalFormatting sqref="F19">
    <cfRule type="expression" dxfId="285" priority="192">
      <formula>$A19=""</formula>
    </cfRule>
  </conditionalFormatting>
  <conditionalFormatting sqref="G19">
    <cfRule type="expression" dxfId="284" priority="191">
      <formula>$A19=""</formula>
    </cfRule>
  </conditionalFormatting>
  <conditionalFormatting sqref="H18:H19">
    <cfRule type="expression" dxfId="283" priority="190">
      <formula>$A18=""</formula>
    </cfRule>
  </conditionalFormatting>
  <conditionalFormatting sqref="F24">
    <cfRule type="expression" dxfId="282" priority="184">
      <formula>$A24=""</formula>
    </cfRule>
  </conditionalFormatting>
  <conditionalFormatting sqref="G22:G23">
    <cfRule type="expression" dxfId="281" priority="186">
      <formula>$A22=""</formula>
    </cfRule>
  </conditionalFormatting>
  <conditionalFormatting sqref="G26">
    <cfRule type="expression" dxfId="280" priority="180">
      <formula>$A26=""</formula>
    </cfRule>
  </conditionalFormatting>
  <conditionalFormatting sqref="E31">
    <cfRule type="expression" dxfId="279" priority="179">
      <formula>$A31=""</formula>
    </cfRule>
  </conditionalFormatting>
  <conditionalFormatting sqref="F31">
    <cfRule type="expression" dxfId="278" priority="178">
      <formula>$A31=""</formula>
    </cfRule>
  </conditionalFormatting>
  <conditionalFormatting sqref="G55:G60">
    <cfRule type="expression" dxfId="277" priority="161">
      <formula>$A55=""</formula>
    </cfRule>
  </conditionalFormatting>
  <conditionalFormatting sqref="G53:G54 G61">
    <cfRule type="expression" dxfId="276" priority="162">
      <formula>$A53=""</formula>
    </cfRule>
  </conditionalFormatting>
  <conditionalFormatting sqref="G33:G34 G41:G42">
    <cfRule type="expression" dxfId="275" priority="168">
      <formula>$A33=""</formula>
    </cfRule>
  </conditionalFormatting>
  <conditionalFormatting sqref="G43">
    <cfRule type="expression" dxfId="274" priority="167">
      <formula>$A43=""</formula>
    </cfRule>
  </conditionalFormatting>
  <conditionalFormatting sqref="G44:G50">
    <cfRule type="expression" dxfId="273" priority="164">
      <formula>$A44=""</formula>
    </cfRule>
  </conditionalFormatting>
  <conditionalFormatting sqref="G35:G40">
    <cfRule type="expression" dxfId="272" priority="163">
      <formula>$A35=""</formula>
    </cfRule>
  </conditionalFormatting>
  <conditionalFormatting sqref="G67:G69">
    <cfRule type="expression" dxfId="271" priority="160">
      <formula>$A67=""</formula>
    </cfRule>
  </conditionalFormatting>
  <conditionalFormatting sqref="G63:G66">
    <cfRule type="expression" dxfId="270" priority="159">
      <formula>$A63=""</formula>
    </cfRule>
  </conditionalFormatting>
  <conditionalFormatting sqref="G97:G98">
    <cfRule type="expression" dxfId="269" priority="151">
      <formula>$A97=""</formula>
    </cfRule>
  </conditionalFormatting>
  <conditionalFormatting sqref="G90:G95">
    <cfRule type="expression" dxfId="268" priority="153">
      <formula>$A90=""</formula>
    </cfRule>
  </conditionalFormatting>
  <conditionalFormatting sqref="G199 G193:G194">
    <cfRule type="expression" dxfId="267" priority="143">
      <formula>$A193=""</formula>
    </cfRule>
  </conditionalFormatting>
  <conditionalFormatting sqref="G202:G203">
    <cfRule type="expression" dxfId="266" priority="149">
      <formula>$A202=""</formula>
    </cfRule>
  </conditionalFormatting>
  <conditionalFormatting sqref="G201">
    <cfRule type="expression" dxfId="265" priority="148">
      <formula>$A201=""</formula>
    </cfRule>
  </conditionalFormatting>
  <conditionalFormatting sqref="G72">
    <cfRule type="expression" dxfId="264" priority="142">
      <formula>$A72=""</formula>
    </cfRule>
  </conditionalFormatting>
  <conditionalFormatting sqref="G73:G77">
    <cfRule type="expression" dxfId="263" priority="128">
      <formula>$A73=""</formula>
    </cfRule>
  </conditionalFormatting>
  <conditionalFormatting sqref="G104:G111">
    <cfRule type="expression" dxfId="262" priority="111">
      <formula>$A104=""</formula>
    </cfRule>
  </conditionalFormatting>
  <conditionalFormatting sqref="G100:G103">
    <cfRule type="expression" dxfId="261" priority="117">
      <formula>$A100=""</formula>
    </cfRule>
  </conditionalFormatting>
  <conditionalFormatting sqref="G166">
    <cfRule type="expression" dxfId="260" priority="81">
      <formula>$A166=""</formula>
    </cfRule>
  </conditionalFormatting>
  <conditionalFormatting sqref="G177:G179 G173:G175">
    <cfRule type="expression" dxfId="259" priority="90">
      <formula>$A173=""</formula>
    </cfRule>
  </conditionalFormatting>
  <conditionalFormatting sqref="H177:I179">
    <cfRule type="expression" dxfId="258" priority="83">
      <formula>$A177=""</formula>
    </cfRule>
  </conditionalFormatting>
  <conditionalFormatting sqref="G172">
    <cfRule type="expression" dxfId="257" priority="87">
      <formula>$A172=""</formula>
    </cfRule>
  </conditionalFormatting>
  <conditionalFormatting sqref="G180:G185">
    <cfRule type="expression" dxfId="256" priority="86">
      <formula>$A180=""</formula>
    </cfRule>
  </conditionalFormatting>
  <conditionalFormatting sqref="G176">
    <cfRule type="expression" dxfId="255" priority="85">
      <formula>$A176=""</formula>
    </cfRule>
  </conditionalFormatting>
  <conditionalFormatting sqref="H173:I175">
    <cfRule type="expression" dxfId="254" priority="84">
      <formula>$A173=""</formula>
    </cfRule>
  </conditionalFormatting>
  <conditionalFormatting sqref="G151:G152">
    <cfRule type="expression" dxfId="253" priority="71">
      <formula>$A151=""</formula>
    </cfRule>
  </conditionalFormatting>
  <conditionalFormatting sqref="G154:I156 H153 H157 G158:I161">
    <cfRule type="expression" dxfId="252" priority="70">
      <formula>$A153=""</formula>
    </cfRule>
  </conditionalFormatting>
  <conditionalFormatting sqref="G143:G148">
    <cfRule type="expression" dxfId="251" priority="61">
      <formula>$A143=""</formula>
    </cfRule>
  </conditionalFormatting>
  <conditionalFormatting sqref="G141:G142">
    <cfRule type="expression" dxfId="250" priority="62">
      <formula>$A141=""</formula>
    </cfRule>
  </conditionalFormatting>
  <conditionalFormatting sqref="C140">
    <cfRule type="expression" dxfId="249" priority="60">
      <formula>$A140=""</formula>
    </cfRule>
  </conditionalFormatting>
  <conditionalFormatting sqref="G140">
    <cfRule type="expression" dxfId="248" priority="59">
      <formula>$A140=""</formula>
    </cfRule>
  </conditionalFormatting>
  <conditionalFormatting sqref="H143:I148">
    <cfRule type="expression" dxfId="247" priority="58">
      <formula>$A143=""</formula>
    </cfRule>
  </conditionalFormatting>
  <conditionalFormatting sqref="G153">
    <cfRule type="expression" dxfId="246" priority="29">
      <formula>$A153=""</formula>
    </cfRule>
  </conditionalFormatting>
  <conditionalFormatting sqref="I153">
    <cfRule type="expression" dxfId="245" priority="28">
      <formula>$A153=""</formula>
    </cfRule>
  </conditionalFormatting>
  <conditionalFormatting sqref="G157">
    <cfRule type="expression" dxfId="244" priority="27">
      <formula>$A157=""</formula>
    </cfRule>
  </conditionalFormatting>
  <conditionalFormatting sqref="I157">
    <cfRule type="expression" dxfId="243" priority="26">
      <formula>$A157=""</formula>
    </cfRule>
  </conditionalFormatting>
  <conditionalFormatting sqref="G150">
    <cfRule type="expression" dxfId="242" priority="25">
      <formula>$A150=""</formula>
    </cfRule>
  </conditionalFormatting>
  <conditionalFormatting sqref="D72:D88">
    <cfRule type="expression" dxfId="241" priority="12">
      <formula>$A72=""</formula>
    </cfRule>
  </conditionalFormatting>
  <conditionalFormatting sqref="I8:I17">
    <cfRule type="expression" dxfId="240" priority="11">
      <formula>$A8=""</formula>
    </cfRule>
  </conditionalFormatting>
  <conditionalFormatting sqref="C123:C129">
    <cfRule type="expression" dxfId="239" priority="9">
      <formula>$A123=""</formula>
    </cfRule>
  </conditionalFormatting>
  <conditionalFormatting sqref="C133:C136">
    <cfRule type="expression" dxfId="238" priority="10">
      <formula>$A130=""</formula>
    </cfRule>
  </conditionalFormatting>
  <conditionalFormatting sqref="D124 D127:D136">
    <cfRule type="expression" dxfId="237" priority="7">
      <formula>$A124=""</formula>
    </cfRule>
  </conditionalFormatting>
  <conditionalFormatting sqref="E124:F136">
    <cfRule type="expression" dxfId="236" priority="6">
      <formula>$A124=""</formula>
    </cfRule>
  </conditionalFormatting>
  <conditionalFormatting sqref="G124 G127:G136">
    <cfRule type="expression" dxfId="235" priority="5">
      <formula>$A124=""</formula>
    </cfRule>
  </conditionalFormatting>
  <conditionalFormatting sqref="D125">
    <cfRule type="expression" dxfId="234" priority="4">
      <formula>$A125=""</formula>
    </cfRule>
  </conditionalFormatting>
  <conditionalFormatting sqref="D126">
    <cfRule type="expression" dxfId="233" priority="3">
      <formula>$A126=""</formula>
    </cfRule>
  </conditionalFormatting>
  <conditionalFormatting sqref="G125">
    <cfRule type="expression" dxfId="232" priority="2">
      <formula>$A125=""</formula>
    </cfRule>
  </conditionalFormatting>
  <conditionalFormatting sqref="G126">
    <cfRule type="expression" dxfId="231" priority="1">
      <formula>$A126=""</formula>
    </cfRule>
  </conditionalFormatting>
  <dataValidations count="1">
    <dataValidation type="list" allowBlank="1" showInputMessage="1" showErrorMessage="1" sqref="D6:D71 D89:D204" xr:uid="{00000000-0002-0000-0000-000000000000}">
      <formula1>$L$2:$L$19</formula1>
    </dataValidation>
  </dataValidations>
  <printOptions horizontalCentered="1"/>
  <pageMargins left="0.70866141732283472" right="0" top="0.55118110236220474" bottom="0.55118110236220474" header="0.31496062992125984" footer="0.31496062992125984"/>
  <pageSetup paperSize="9" scale="82" fitToHeight="0" orientation="portrait" r:id="rId1"/>
  <colBreaks count="1" manualBreakCount="1">
    <brk id="9" max="19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DF76-BF93-4642-BEB0-7C771D3C0966}">
  <sheetPr>
    <pageSetUpPr fitToPage="1"/>
  </sheetPr>
  <dimension ref="A1:S398"/>
  <sheetViews>
    <sheetView view="pageBreakPreview" topLeftCell="A25" zoomScale="60" zoomScaleNormal="100" workbookViewId="0">
      <selection activeCell="A378" sqref="A378:XFD378"/>
    </sheetView>
  </sheetViews>
  <sheetFormatPr defaultColWidth="9.109375" defaultRowHeight="13.8"/>
  <cols>
    <col min="1" max="1" width="10.5546875" style="271" customWidth="1"/>
    <col min="2" max="2" width="8.88671875" style="271" hidden="1" customWidth="1"/>
    <col min="3" max="3" width="38.44140625" style="244" customWidth="1"/>
    <col min="4" max="4" width="10.44140625" style="271" bestFit="1" customWidth="1"/>
    <col min="5" max="5" width="19.88671875" style="271" bestFit="1" customWidth="1"/>
    <col min="6" max="6" width="6.6640625" style="244" bestFit="1" customWidth="1"/>
    <col min="7" max="7" width="14.109375" style="256" customWidth="1"/>
    <col min="8" max="8" width="6.88671875" style="244" customWidth="1"/>
    <col min="9" max="9" width="12.88671875" style="258" customWidth="1"/>
    <col min="10" max="10" width="10.44140625" style="252" customWidth="1"/>
    <col min="11" max="11" width="9.109375" style="244"/>
    <col min="12" max="12" width="32.33203125" style="244" bestFit="1" customWidth="1"/>
    <col min="13" max="13" width="30.6640625" style="244" bestFit="1" customWidth="1"/>
    <col min="14" max="18" width="9.109375" style="244"/>
    <col min="19" max="19" width="9.33203125" style="244" bestFit="1" customWidth="1"/>
    <col min="20" max="16384" width="9.109375" style="244"/>
  </cols>
  <sheetData>
    <row r="1" spans="1:19" hidden="1">
      <c r="J1" s="272"/>
      <c r="R1" s="234" t="s">
        <v>13</v>
      </c>
      <c r="S1" s="234" t="s">
        <v>19</v>
      </c>
    </row>
    <row r="2" spans="1:19" s="246" customFormat="1" hidden="1">
      <c r="G2" s="258"/>
      <c r="I2" s="258"/>
      <c r="J2" s="272"/>
      <c r="R2" s="230" t="s">
        <v>2</v>
      </c>
      <c r="S2" s="230">
        <v>1</v>
      </c>
    </row>
    <row r="3" spans="1:19" s="246" customFormat="1" hidden="1">
      <c r="G3" s="258"/>
      <c r="I3" s="258"/>
      <c r="J3" s="272"/>
      <c r="R3" s="230" t="s">
        <v>0</v>
      </c>
      <c r="S3" s="230">
        <v>1</v>
      </c>
    </row>
    <row r="4" spans="1:19" s="246" customFormat="1" hidden="1">
      <c r="G4" s="258"/>
      <c r="I4" s="258"/>
      <c r="J4" s="272"/>
      <c r="R4" s="230" t="s">
        <v>5</v>
      </c>
      <c r="S4" s="230">
        <v>1</v>
      </c>
    </row>
    <row r="5" spans="1:19" hidden="1">
      <c r="J5" s="272"/>
      <c r="R5" s="234" t="s">
        <v>6</v>
      </c>
      <c r="S5" s="234">
        <v>0.01</v>
      </c>
    </row>
    <row r="6" spans="1:19" hidden="1">
      <c r="J6" s="272"/>
      <c r="R6" s="234" t="s">
        <v>7</v>
      </c>
      <c r="S6" s="234">
        <v>0.01</v>
      </c>
    </row>
    <row r="7" spans="1:19" s="246" customFormat="1" hidden="1">
      <c r="G7" s="258"/>
      <c r="I7" s="258"/>
      <c r="J7" s="272"/>
      <c r="R7" s="234" t="s">
        <v>4</v>
      </c>
      <c r="S7" s="234">
        <v>0.01</v>
      </c>
    </row>
    <row r="8" spans="1:19" s="246" customFormat="1" hidden="1">
      <c r="G8" s="258"/>
      <c r="I8" s="258"/>
      <c r="J8" s="272"/>
      <c r="R8" s="234" t="s">
        <v>10</v>
      </c>
      <c r="S8" s="234">
        <v>1E-3</v>
      </c>
    </row>
    <row r="9" spans="1:19" hidden="1">
      <c r="J9" s="272"/>
      <c r="R9" s="234" t="s">
        <v>14</v>
      </c>
      <c r="S9" s="234">
        <v>1</v>
      </c>
    </row>
    <row r="10" spans="1:19" hidden="1">
      <c r="J10" s="272"/>
      <c r="R10" s="234" t="s">
        <v>15</v>
      </c>
      <c r="S10" s="234">
        <v>1</v>
      </c>
    </row>
    <row r="11" spans="1:19" hidden="1">
      <c r="J11" s="272"/>
      <c r="R11" s="234" t="s">
        <v>22</v>
      </c>
      <c r="S11" s="234">
        <v>1</v>
      </c>
    </row>
    <row r="12" spans="1:19" hidden="1">
      <c r="J12" s="272"/>
      <c r="R12" s="234" t="s">
        <v>23</v>
      </c>
      <c r="S12" s="234">
        <v>1</v>
      </c>
    </row>
    <row r="13" spans="1:19" hidden="1">
      <c r="J13" s="272"/>
      <c r="R13" s="234" t="s">
        <v>24</v>
      </c>
      <c r="S13" s="234">
        <v>1</v>
      </c>
    </row>
    <row r="14" spans="1:19" hidden="1">
      <c r="J14" s="272"/>
      <c r="R14" s="234" t="s">
        <v>16</v>
      </c>
      <c r="S14" s="234">
        <v>1</v>
      </c>
    </row>
    <row r="15" spans="1:19" hidden="1">
      <c r="A15" s="244"/>
      <c r="B15" s="244"/>
      <c r="D15" s="244"/>
      <c r="E15" s="244"/>
      <c r="I15" s="256"/>
      <c r="J15" s="247"/>
      <c r="R15" s="234" t="s">
        <v>21</v>
      </c>
      <c r="S15" s="234">
        <v>1</v>
      </c>
    </row>
    <row r="16" spans="1:19" hidden="1">
      <c r="J16" s="272"/>
      <c r="R16" s="234" t="s">
        <v>25</v>
      </c>
      <c r="S16" s="234">
        <v>1</v>
      </c>
    </row>
    <row r="17" spans="1:19" hidden="1">
      <c r="J17" s="272"/>
      <c r="R17" s="273" t="s">
        <v>17</v>
      </c>
      <c r="S17" s="273">
        <v>1</v>
      </c>
    </row>
    <row r="18" spans="1:19" hidden="1">
      <c r="J18" s="272"/>
      <c r="R18" s="273" t="s">
        <v>26</v>
      </c>
      <c r="S18" s="273">
        <v>1</v>
      </c>
    </row>
    <row r="19" spans="1:19" hidden="1">
      <c r="J19" s="272"/>
      <c r="R19" s="234"/>
      <c r="S19" s="234"/>
    </row>
    <row r="20" spans="1:19" hidden="1">
      <c r="A20" s="244"/>
      <c r="B20" s="244"/>
      <c r="D20" s="244"/>
      <c r="E20" s="244"/>
      <c r="I20" s="256"/>
      <c r="J20" s="247"/>
      <c r="R20" s="234"/>
      <c r="S20" s="234"/>
    </row>
    <row r="21" spans="1:19" hidden="1">
      <c r="J21" s="272"/>
      <c r="R21" s="234"/>
      <c r="S21" s="234"/>
    </row>
    <row r="22" spans="1:19" hidden="1">
      <c r="J22" s="272"/>
      <c r="R22" s="234"/>
      <c r="S22" s="234"/>
    </row>
    <row r="23" spans="1:19" hidden="1">
      <c r="A23" s="244"/>
      <c r="B23" s="244"/>
      <c r="D23" s="244"/>
      <c r="E23" s="244"/>
      <c r="I23" s="256"/>
      <c r="J23" s="247"/>
    </row>
    <row r="24" spans="1:19" hidden="1">
      <c r="A24" s="244"/>
      <c r="B24" s="244"/>
      <c r="D24" s="244"/>
      <c r="E24" s="244"/>
      <c r="I24" s="256"/>
      <c r="J24" s="247"/>
    </row>
    <row r="25" spans="1:19" ht="16.8">
      <c r="A25" s="339" t="s">
        <v>27</v>
      </c>
      <c r="B25" s="339"/>
      <c r="C25" s="339"/>
      <c r="D25" s="339"/>
      <c r="E25" s="339"/>
      <c r="F25" s="339"/>
      <c r="G25" s="340"/>
      <c r="H25" s="339"/>
      <c r="I25" s="340"/>
      <c r="J25" s="339"/>
    </row>
    <row r="26" spans="1:19" s="123" customFormat="1" ht="25.5" customHeight="1">
      <c r="A26" s="115"/>
      <c r="B26" s="115"/>
      <c r="C26" s="332" t="s">
        <v>367</v>
      </c>
      <c r="D26" s="332"/>
      <c r="E26" s="332"/>
      <c r="F26" s="332"/>
      <c r="G26" s="341"/>
      <c r="H26" s="332"/>
      <c r="I26" s="341"/>
      <c r="J26" s="332"/>
      <c r="L26" s="114" t="s">
        <v>10</v>
      </c>
    </row>
    <row r="27" spans="1:19" s="123" customFormat="1" ht="25.5" customHeight="1">
      <c r="A27" s="115"/>
      <c r="B27" s="115"/>
      <c r="C27" s="332" t="s">
        <v>368</v>
      </c>
      <c r="D27" s="332"/>
      <c r="E27" s="332"/>
      <c r="F27" s="332"/>
      <c r="G27" s="341"/>
      <c r="H27" s="332"/>
      <c r="I27" s="341"/>
      <c r="J27" s="332"/>
      <c r="L27" s="114" t="s">
        <v>5</v>
      </c>
    </row>
    <row r="28" spans="1:19" s="274" customFormat="1">
      <c r="A28" s="335"/>
      <c r="B28" s="335"/>
      <c r="C28" s="335"/>
      <c r="D28" s="335"/>
      <c r="E28" s="335"/>
      <c r="F28" s="335"/>
      <c r="G28" s="336"/>
      <c r="H28" s="335"/>
      <c r="I28" s="336"/>
      <c r="J28" s="259"/>
    </row>
    <row r="29" spans="1:19" s="275" customFormat="1" ht="50.25" customHeight="1">
      <c r="A29" s="249" t="s">
        <v>3</v>
      </c>
      <c r="B29" s="250" t="s">
        <v>18</v>
      </c>
      <c r="C29" s="249" t="s">
        <v>11</v>
      </c>
      <c r="D29" s="337" t="s">
        <v>30</v>
      </c>
      <c r="E29" s="338"/>
      <c r="F29" s="249" t="s">
        <v>293</v>
      </c>
      <c r="G29" s="254" t="s">
        <v>31</v>
      </c>
      <c r="H29" s="251" t="s">
        <v>32</v>
      </c>
      <c r="I29" s="257" t="s">
        <v>8</v>
      </c>
      <c r="J29" s="249" t="s">
        <v>9</v>
      </c>
    </row>
    <row r="30" spans="1:19">
      <c r="A30" s="229" t="s">
        <v>1</v>
      </c>
      <c r="B30" s="229"/>
      <c r="C30" s="230" t="s">
        <v>60</v>
      </c>
      <c r="D30" s="229"/>
      <c r="E30" s="229"/>
      <c r="F30" s="230"/>
      <c r="G30" s="231"/>
      <c r="H30" s="232"/>
      <c r="I30" s="231">
        <v>26</v>
      </c>
      <c r="J30" s="229" t="s">
        <v>24</v>
      </c>
    </row>
    <row r="31" spans="1:19">
      <c r="A31" s="233">
        <f>IF(LEN(B31)=0," ",COUNTA($B$30:B31))</f>
        <v>1</v>
      </c>
      <c r="B31" s="233">
        <v>1</v>
      </c>
      <c r="C31" s="234" t="s">
        <v>560</v>
      </c>
      <c r="D31" s="233"/>
      <c r="E31" s="229"/>
      <c r="F31" s="235">
        <f t="shared" ref="F31:F47" si="0">VLOOKUP(J31,$R$2:$S$22,2,0)</f>
        <v>1</v>
      </c>
      <c r="G31" s="235">
        <f ca="1">G32+G33</f>
        <v>5.1385000000000005</v>
      </c>
      <c r="H31" s="236">
        <f t="shared" ref="H31:H37" si="1">$I$30</f>
        <v>26</v>
      </c>
      <c r="I31" s="231">
        <f ca="1">SUM(I32:I33)</f>
        <v>133.601</v>
      </c>
      <c r="J31" s="233" t="s">
        <v>5</v>
      </c>
    </row>
    <row r="32" spans="1:19">
      <c r="A32" s="233"/>
      <c r="B32" s="233"/>
      <c r="C32" s="237" t="s">
        <v>342</v>
      </c>
      <c r="D32" s="233" t="s">
        <v>54</v>
      </c>
      <c r="E32" s="238" t="s">
        <v>451</v>
      </c>
      <c r="F32" s="235">
        <f t="shared" si="0"/>
        <v>1</v>
      </c>
      <c r="G32" s="235">
        <f ca="1">Eval(E32)*F32</f>
        <v>5.3100000000000005</v>
      </c>
      <c r="H32" s="236">
        <f t="shared" si="1"/>
        <v>26</v>
      </c>
      <c r="I32" s="231">
        <f ca="1">ROUND(G32*H32,3)</f>
        <v>138.06</v>
      </c>
      <c r="J32" s="233" t="s">
        <v>5</v>
      </c>
      <c r="M32" s="247"/>
    </row>
    <row r="33" spans="1:10">
      <c r="A33" s="233"/>
      <c r="B33" s="233"/>
      <c r="C33" s="237" t="s">
        <v>35</v>
      </c>
      <c r="D33" s="233" t="s">
        <v>55</v>
      </c>
      <c r="E33" s="239" t="s">
        <v>475</v>
      </c>
      <c r="F33" s="235">
        <f t="shared" si="0"/>
        <v>1</v>
      </c>
      <c r="G33" s="235">
        <f ca="1">Eval(E33)*F33</f>
        <v>-0.17149999999999999</v>
      </c>
      <c r="H33" s="236">
        <f t="shared" si="1"/>
        <v>26</v>
      </c>
      <c r="I33" s="231">
        <f ca="1">ROUND(G33*H33,3)</f>
        <v>-4.4589999999999996</v>
      </c>
      <c r="J33" s="233" t="s">
        <v>5</v>
      </c>
    </row>
    <row r="34" spans="1:10">
      <c r="A34" s="233">
        <f>IF(LEN(B34)=0," ",COUNTA($B$30:B34))</f>
        <v>2</v>
      </c>
      <c r="B34" s="233">
        <v>2</v>
      </c>
      <c r="C34" s="234" t="s">
        <v>437</v>
      </c>
      <c r="D34" s="233"/>
      <c r="E34" s="234"/>
      <c r="F34" s="235">
        <f t="shared" si="0"/>
        <v>1</v>
      </c>
      <c r="G34" s="235">
        <f ca="1">G35+G36</f>
        <v>25.198500000000003</v>
      </c>
      <c r="H34" s="236">
        <f t="shared" si="1"/>
        <v>26</v>
      </c>
      <c r="I34" s="231">
        <f ca="1">SUM(I35:I36)</f>
        <v>655.16100000000006</v>
      </c>
      <c r="J34" s="233" t="s">
        <v>5</v>
      </c>
    </row>
    <row r="35" spans="1:10" s="246" customFormat="1">
      <c r="A35" s="233"/>
      <c r="B35" s="233"/>
      <c r="C35" s="237" t="s">
        <v>344</v>
      </c>
      <c r="D35" s="233" t="s">
        <v>54</v>
      </c>
      <c r="E35" s="233" t="s">
        <v>452</v>
      </c>
      <c r="F35" s="235">
        <f t="shared" si="0"/>
        <v>1</v>
      </c>
      <c r="G35" s="235">
        <f ca="1">Eval(E35)*F35</f>
        <v>25.37</v>
      </c>
      <c r="H35" s="236">
        <f t="shared" si="1"/>
        <v>26</v>
      </c>
      <c r="I35" s="231">
        <f t="shared" ref="I35:I36" ca="1" si="2">ROUND(G35*H35,3)</f>
        <v>659.62</v>
      </c>
      <c r="J35" s="233" t="s">
        <v>5</v>
      </c>
    </row>
    <row r="36" spans="1:10">
      <c r="A36" s="233"/>
      <c r="B36" s="233"/>
      <c r="C36" s="237" t="s">
        <v>35</v>
      </c>
      <c r="D36" s="233" t="s">
        <v>55</v>
      </c>
      <c r="E36" s="240" t="s">
        <v>475</v>
      </c>
      <c r="F36" s="235">
        <f t="shared" si="0"/>
        <v>1</v>
      </c>
      <c r="G36" s="235">
        <f ca="1">Eval(E36)*F36</f>
        <v>-0.17149999999999999</v>
      </c>
      <c r="H36" s="236">
        <f t="shared" si="1"/>
        <v>26</v>
      </c>
      <c r="I36" s="231">
        <f t="shared" ca="1" si="2"/>
        <v>-4.4589999999999996</v>
      </c>
      <c r="J36" s="233" t="s">
        <v>5</v>
      </c>
    </row>
    <row r="37" spans="1:10">
      <c r="A37" s="233">
        <f>IF(LEN(B37)=0," ",COUNTA($B$30:B37))</f>
        <v>3</v>
      </c>
      <c r="B37" s="233">
        <v>3</v>
      </c>
      <c r="C37" s="234" t="s">
        <v>438</v>
      </c>
      <c r="D37" s="233"/>
      <c r="E37" s="241"/>
      <c r="F37" s="235"/>
      <c r="G37" s="235">
        <f ca="1">SUM(G38:G39)</f>
        <v>12.9268</v>
      </c>
      <c r="H37" s="236">
        <f t="shared" si="1"/>
        <v>26</v>
      </c>
      <c r="I37" s="231">
        <f t="shared" ref="I37" ca="1" si="3">G37*H37</f>
        <v>336.09680000000003</v>
      </c>
      <c r="J37" s="233" t="s">
        <v>5</v>
      </c>
    </row>
    <row r="38" spans="1:10">
      <c r="A38" s="233"/>
      <c r="B38" s="233"/>
      <c r="C38" s="237" t="s">
        <v>126</v>
      </c>
      <c r="D38" s="233" t="s">
        <v>56</v>
      </c>
      <c r="E38" s="241" t="s">
        <v>453</v>
      </c>
      <c r="F38" s="235">
        <f t="shared" si="0"/>
        <v>1</v>
      </c>
      <c r="G38" s="235">
        <f ca="1">Eval(E38)*F38</f>
        <v>13.286799999999999</v>
      </c>
      <c r="H38" s="236">
        <f>I30</f>
        <v>26</v>
      </c>
      <c r="I38" s="231">
        <f t="shared" ref="I38:I39" ca="1" si="4">G38 *H38</f>
        <v>345.45679999999999</v>
      </c>
      <c r="J38" s="233" t="s">
        <v>5</v>
      </c>
    </row>
    <row r="39" spans="1:10">
      <c r="A39" s="233"/>
      <c r="B39" s="233"/>
      <c r="C39" s="237" t="s">
        <v>127</v>
      </c>
      <c r="D39" s="233" t="s">
        <v>56</v>
      </c>
      <c r="E39" s="241" t="s">
        <v>443</v>
      </c>
      <c r="F39" s="235">
        <f t="shared" si="0"/>
        <v>1</v>
      </c>
      <c r="G39" s="235">
        <f ca="1">Eval(E39)*F39</f>
        <v>-0.36</v>
      </c>
      <c r="H39" s="236">
        <v>4</v>
      </c>
      <c r="I39" s="231">
        <f t="shared" ca="1" si="4"/>
        <v>-1.44</v>
      </c>
      <c r="J39" s="233" t="s">
        <v>5</v>
      </c>
    </row>
    <row r="40" spans="1:10">
      <c r="A40" s="233">
        <f>IF(LEN(B40)=0," ",COUNTA($B$30:B40))</f>
        <v>4</v>
      </c>
      <c r="B40" s="233">
        <v>4</v>
      </c>
      <c r="C40" s="234" t="s">
        <v>439</v>
      </c>
      <c r="D40" s="233" t="s">
        <v>57</v>
      </c>
      <c r="E40" s="242" t="s">
        <v>454</v>
      </c>
      <c r="F40" s="235">
        <f t="shared" si="0"/>
        <v>1</v>
      </c>
      <c r="G40" s="235">
        <f ca="1">Eval(E40)*F40</f>
        <v>0.42779999999999996</v>
      </c>
      <c r="H40" s="236">
        <f>$I$30*3</f>
        <v>78</v>
      </c>
      <c r="I40" s="231">
        <f ca="1">ROUND(G40*H40,3)</f>
        <v>33.368000000000002</v>
      </c>
      <c r="J40" s="233" t="s">
        <v>5</v>
      </c>
    </row>
    <row r="41" spans="1:10">
      <c r="A41" s="233">
        <f>IF(LEN(B41)=0," ",COUNTA($B$30:B41))</f>
        <v>5</v>
      </c>
      <c r="B41" s="233">
        <v>5</v>
      </c>
      <c r="C41" s="234" t="s">
        <v>39</v>
      </c>
      <c r="D41" s="333" t="s">
        <v>59</v>
      </c>
      <c r="E41" s="334"/>
      <c r="F41" s="235">
        <f t="shared" si="0"/>
        <v>1E-3</v>
      </c>
      <c r="G41" s="235">
        <f>26.78*F41</f>
        <v>2.6780000000000002E-2</v>
      </c>
      <c r="H41" s="236">
        <f t="shared" ref="H41:H47" si="5">$I$30</f>
        <v>26</v>
      </c>
      <c r="I41" s="231">
        <f t="shared" ref="I41:I47" si="6">ROUND(G41*H41,3)</f>
        <v>0.69599999999999995</v>
      </c>
      <c r="J41" s="233" t="s">
        <v>10</v>
      </c>
    </row>
    <row r="42" spans="1:10">
      <c r="A42" s="233">
        <f>IF(LEN(B42)=0," ",COUNTA($B$30:B42))</f>
        <v>6</v>
      </c>
      <c r="B42" s="233">
        <v>6</v>
      </c>
      <c r="C42" s="234" t="s">
        <v>40</v>
      </c>
      <c r="D42" s="333" t="s">
        <v>59</v>
      </c>
      <c r="E42" s="334"/>
      <c r="F42" s="235">
        <f t="shared" si="0"/>
        <v>1E-3</v>
      </c>
      <c r="G42" s="235">
        <f>992.58*F42</f>
        <v>0.99258000000000002</v>
      </c>
      <c r="H42" s="236">
        <f t="shared" si="5"/>
        <v>26</v>
      </c>
      <c r="I42" s="231">
        <f t="shared" si="6"/>
        <v>25.806999999999999</v>
      </c>
      <c r="J42" s="233" t="s">
        <v>10</v>
      </c>
    </row>
    <row r="43" spans="1:10">
      <c r="A43" s="233">
        <f>IF(LEN(B43)=0," ",COUNTA($B$30:B43))</f>
        <v>7</v>
      </c>
      <c r="B43" s="233">
        <v>7</v>
      </c>
      <c r="C43" s="234" t="s">
        <v>41</v>
      </c>
      <c r="D43" s="333" t="s">
        <v>59</v>
      </c>
      <c r="E43" s="334"/>
      <c r="F43" s="235">
        <f t="shared" si="0"/>
        <v>1E-3</v>
      </c>
      <c r="G43" s="255">
        <f>21.13*F43</f>
        <v>2.1129999999999999E-2</v>
      </c>
      <c r="H43" s="236">
        <f t="shared" si="5"/>
        <v>26</v>
      </c>
      <c r="I43" s="231">
        <f t="shared" si="6"/>
        <v>0.54900000000000004</v>
      </c>
      <c r="J43" s="233" t="s">
        <v>10</v>
      </c>
    </row>
    <row r="44" spans="1:10">
      <c r="A44" s="233">
        <f>IF(LEN(B44)=0," ",COUNTA($B$30:B44))</f>
        <v>8</v>
      </c>
      <c r="B44" s="233">
        <v>8</v>
      </c>
      <c r="C44" s="234" t="s">
        <v>42</v>
      </c>
      <c r="D44" s="333" t="s">
        <v>59</v>
      </c>
      <c r="E44" s="334"/>
      <c r="F44" s="235">
        <f t="shared" si="0"/>
        <v>1E-3</v>
      </c>
      <c r="G44" s="255">
        <f>840.48*F44</f>
        <v>0.84048</v>
      </c>
      <c r="H44" s="236">
        <f t="shared" si="5"/>
        <v>26</v>
      </c>
      <c r="I44" s="231">
        <f t="shared" si="6"/>
        <v>21.852</v>
      </c>
      <c r="J44" s="233" t="s">
        <v>10</v>
      </c>
    </row>
    <row r="45" spans="1:10">
      <c r="A45" s="233">
        <f>IF(LEN(B45)=0," ",COUNTA($B$30:B45))</f>
        <v>9</v>
      </c>
      <c r="B45" s="233">
        <v>9</v>
      </c>
      <c r="C45" s="234" t="s">
        <v>61</v>
      </c>
      <c r="D45" s="333" t="s">
        <v>59</v>
      </c>
      <c r="E45" s="334"/>
      <c r="F45" s="235">
        <f t="shared" si="0"/>
        <v>1E-3</v>
      </c>
      <c r="G45" s="255">
        <f>170.49*F45</f>
        <v>0.17049</v>
      </c>
      <c r="H45" s="236">
        <f>$I$30*3</f>
        <v>78</v>
      </c>
      <c r="I45" s="231">
        <f t="shared" si="6"/>
        <v>13.298</v>
      </c>
      <c r="J45" s="233" t="s">
        <v>10</v>
      </c>
    </row>
    <row r="46" spans="1:10">
      <c r="A46" s="233">
        <f>IF(LEN(B46)=0," ",COUNTA($B$30:B46))</f>
        <v>10</v>
      </c>
      <c r="B46" s="233">
        <v>10</v>
      </c>
      <c r="C46" s="234" t="s">
        <v>43</v>
      </c>
      <c r="D46" s="233" t="s">
        <v>62</v>
      </c>
      <c r="E46" s="242" t="s">
        <v>455</v>
      </c>
      <c r="F46" s="235">
        <f t="shared" si="0"/>
        <v>0.01</v>
      </c>
      <c r="G46" s="255">
        <f ca="1">Eval(E46)*F46</f>
        <v>2.8100000000000007E-2</v>
      </c>
      <c r="H46" s="236">
        <f t="shared" si="5"/>
        <v>26</v>
      </c>
      <c r="I46" s="231">
        <f t="shared" ca="1" si="6"/>
        <v>0.73099999999999998</v>
      </c>
      <c r="J46" s="233" t="s">
        <v>4</v>
      </c>
    </row>
    <row r="47" spans="1:10">
      <c r="A47" s="233">
        <f>IF(LEN(B47)=0," ",COUNTA($B$30:B47))</f>
        <v>11</v>
      </c>
      <c r="B47" s="233">
        <v>11</v>
      </c>
      <c r="C47" s="234" t="s">
        <v>44</v>
      </c>
      <c r="D47" s="233" t="s">
        <v>62</v>
      </c>
      <c r="E47" s="233" t="s">
        <v>456</v>
      </c>
      <c r="F47" s="235">
        <f t="shared" si="0"/>
        <v>0.01</v>
      </c>
      <c r="G47" s="255">
        <f ca="1">Eval(E47)*F47</f>
        <v>0.13950000000000001</v>
      </c>
      <c r="H47" s="236">
        <f t="shared" si="5"/>
        <v>26</v>
      </c>
      <c r="I47" s="231">
        <f t="shared" ca="1" si="6"/>
        <v>3.6269999999999998</v>
      </c>
      <c r="J47" s="233" t="s">
        <v>4</v>
      </c>
    </row>
    <row r="48" spans="1:10">
      <c r="A48" s="233">
        <f>IF(LEN(B48)=0," ",COUNTA($B$30:B48))</f>
        <v>12</v>
      </c>
      <c r="B48" s="233">
        <v>12</v>
      </c>
      <c r="C48" s="234" t="s">
        <v>12</v>
      </c>
      <c r="D48" s="233"/>
      <c r="E48" s="243"/>
      <c r="F48" s="235"/>
      <c r="G48" s="255"/>
      <c r="H48" s="236"/>
      <c r="I48" s="231">
        <f ca="1">SUM(I49:I52)</f>
        <v>17.468</v>
      </c>
      <c r="J48" s="233" t="s">
        <v>4</v>
      </c>
    </row>
    <row r="49" spans="1:12">
      <c r="A49" s="233"/>
      <c r="B49" s="233"/>
      <c r="C49" s="237" t="s">
        <v>45</v>
      </c>
      <c r="D49" s="233" t="s">
        <v>62</v>
      </c>
      <c r="E49" s="238" t="s">
        <v>66</v>
      </c>
      <c r="F49" s="235">
        <f t="shared" ref="F49:F55" si="7">VLOOKUP(J49,$R$2:$S$22,2,0)</f>
        <v>0.01</v>
      </c>
      <c r="G49" s="255">
        <f t="shared" ref="G49:G55" ca="1" si="8">Eval(E49)*F49</f>
        <v>0.33158000000000004</v>
      </c>
      <c r="H49" s="236">
        <f>$I$30</f>
        <v>26</v>
      </c>
      <c r="I49" s="231">
        <f ca="1">ROUND(G49*H49,3)</f>
        <v>8.6210000000000004</v>
      </c>
      <c r="J49" s="233" t="s">
        <v>4</v>
      </c>
    </row>
    <row r="50" spans="1:12">
      <c r="A50" s="233"/>
      <c r="B50" s="233"/>
      <c r="C50" s="237" t="s">
        <v>46</v>
      </c>
      <c r="D50" s="233" t="s">
        <v>62</v>
      </c>
      <c r="E50" s="238" t="s">
        <v>65</v>
      </c>
      <c r="F50" s="235">
        <f t="shared" si="7"/>
        <v>0.01</v>
      </c>
      <c r="G50" s="255">
        <f t="shared" ca="1" si="8"/>
        <v>0.33039999999999997</v>
      </c>
      <c r="H50" s="236">
        <f>$I$30</f>
        <v>26</v>
      </c>
      <c r="I50" s="231">
        <f t="shared" ref="I50:I55" ca="1" si="9">ROUND(G50*H50,3)</f>
        <v>8.59</v>
      </c>
      <c r="J50" s="233" t="s">
        <v>4</v>
      </c>
    </row>
    <row r="51" spans="1:12">
      <c r="A51" s="233"/>
      <c r="B51" s="233"/>
      <c r="C51" s="237" t="s">
        <v>47</v>
      </c>
      <c r="D51" s="233" t="s">
        <v>67</v>
      </c>
      <c r="E51" s="248">
        <v>1.1259999999999999</v>
      </c>
      <c r="F51" s="235">
        <f t="shared" si="7"/>
        <v>0.01</v>
      </c>
      <c r="G51" s="255">
        <f>1.126*F51</f>
        <v>1.1259999999999999E-2</v>
      </c>
      <c r="H51" s="236">
        <v>28</v>
      </c>
      <c r="I51" s="231">
        <f t="shared" si="9"/>
        <v>0.315</v>
      </c>
      <c r="J51" s="233" t="s">
        <v>4</v>
      </c>
      <c r="L51" s="256"/>
    </row>
    <row r="52" spans="1:12">
      <c r="A52" s="233"/>
      <c r="B52" s="233"/>
      <c r="C52" s="237" t="s">
        <v>127</v>
      </c>
      <c r="D52" s="233" t="s">
        <v>69</v>
      </c>
      <c r="E52" s="245" t="s">
        <v>136</v>
      </c>
      <c r="F52" s="235">
        <f t="shared" si="7"/>
        <v>0.01</v>
      </c>
      <c r="G52" s="255">
        <f t="shared" ca="1" si="8"/>
        <v>-1.44E-2</v>
      </c>
      <c r="H52" s="236">
        <f>H39</f>
        <v>4</v>
      </c>
      <c r="I52" s="231">
        <f t="shared" ca="1" si="9"/>
        <v>-5.8000000000000003E-2</v>
      </c>
      <c r="J52" s="233" t="s">
        <v>4</v>
      </c>
    </row>
    <row r="53" spans="1:12">
      <c r="A53" s="233">
        <f>IF(LEN(B53)=0," ",COUNTA($B$30:B53))</f>
        <v>13</v>
      </c>
      <c r="B53" s="233">
        <v>13</v>
      </c>
      <c r="C53" s="234" t="s">
        <v>48</v>
      </c>
      <c r="D53" s="233" t="s">
        <v>69</v>
      </c>
      <c r="E53" s="242" t="s">
        <v>457</v>
      </c>
      <c r="F53" s="235">
        <f t="shared" si="7"/>
        <v>0.01</v>
      </c>
      <c r="G53" s="255">
        <f t="shared" ca="1" si="8"/>
        <v>3.6170000000000001E-2</v>
      </c>
      <c r="H53" s="236">
        <f>$I$30*3</f>
        <v>78</v>
      </c>
      <c r="I53" s="231">
        <f t="shared" ca="1" si="9"/>
        <v>2.8210000000000002</v>
      </c>
      <c r="J53" s="233" t="s">
        <v>4</v>
      </c>
    </row>
    <row r="54" spans="1:12">
      <c r="A54" s="233">
        <f>IF(LEN(B54)=0," ",COUNTA($B$30:B54))</f>
        <v>14</v>
      </c>
      <c r="B54" s="233">
        <v>14</v>
      </c>
      <c r="C54" s="234" t="s">
        <v>440</v>
      </c>
      <c r="D54" s="233" t="s">
        <v>72</v>
      </c>
      <c r="E54" s="233" t="s">
        <v>459</v>
      </c>
      <c r="F54" s="235">
        <f t="shared" si="7"/>
        <v>1</v>
      </c>
      <c r="G54" s="255">
        <f t="shared" ca="1" si="8"/>
        <v>12</v>
      </c>
      <c r="H54" s="236">
        <f>$I$30</f>
        <v>26</v>
      </c>
      <c r="I54" s="231">
        <f t="shared" ca="1" si="9"/>
        <v>312</v>
      </c>
      <c r="J54" s="233" t="s">
        <v>2</v>
      </c>
    </row>
    <row r="55" spans="1:12">
      <c r="A55" s="233">
        <f>IF(LEN(B55)=0," ",COUNTA($B$30:B55))</f>
        <v>15</v>
      </c>
      <c r="B55" s="233">
        <v>15</v>
      </c>
      <c r="C55" s="234" t="s">
        <v>124</v>
      </c>
      <c r="D55" s="233" t="s">
        <v>71</v>
      </c>
      <c r="E55" s="245" t="s">
        <v>458</v>
      </c>
      <c r="F55" s="235">
        <f t="shared" si="7"/>
        <v>1</v>
      </c>
      <c r="G55" s="255">
        <f t="shared" ca="1" si="8"/>
        <v>6.7</v>
      </c>
      <c r="H55" s="236">
        <f>$I$30</f>
        <v>26</v>
      </c>
      <c r="I55" s="231">
        <f t="shared" ca="1" si="9"/>
        <v>174.2</v>
      </c>
      <c r="J55" s="233" t="s">
        <v>2</v>
      </c>
    </row>
    <row r="56" spans="1:12">
      <c r="A56" s="229" t="s">
        <v>75</v>
      </c>
      <c r="B56" s="229"/>
      <c r="C56" s="230" t="s">
        <v>466</v>
      </c>
      <c r="D56" s="229"/>
      <c r="E56" s="229"/>
      <c r="F56" s="231"/>
      <c r="G56" s="231"/>
      <c r="H56" s="232"/>
      <c r="I56" s="231">
        <v>1</v>
      </c>
      <c r="J56" s="229" t="s">
        <v>24</v>
      </c>
    </row>
    <row r="57" spans="1:12">
      <c r="A57" s="233">
        <f>IF(LEN(B57)=0," ",COUNTA($B$30:B57))</f>
        <v>16</v>
      </c>
      <c r="B57" s="233">
        <v>1</v>
      </c>
      <c r="C57" s="234" t="s">
        <v>560</v>
      </c>
      <c r="D57" s="233"/>
      <c r="E57" s="229"/>
      <c r="F57" s="235">
        <f t="shared" ref="F57:F71" si="10">VLOOKUP(J57,$R$2:$S$22,2,0)</f>
        <v>1</v>
      </c>
      <c r="G57" s="235">
        <f ca="1">G58+G59</f>
        <v>5.5570000000000004</v>
      </c>
      <c r="H57" s="236">
        <f t="shared" ref="H57:H63" si="11">$I$56</f>
        <v>1</v>
      </c>
      <c r="I57" s="231">
        <f ca="1">SUM(I58:I59)</f>
        <v>5.5570000000000004</v>
      </c>
      <c r="J57" s="233" t="s">
        <v>5</v>
      </c>
    </row>
    <row r="58" spans="1:12">
      <c r="A58" s="233"/>
      <c r="B58" s="233"/>
      <c r="C58" s="237" t="s">
        <v>342</v>
      </c>
      <c r="D58" s="233" t="s">
        <v>76</v>
      </c>
      <c r="E58" s="238" t="s">
        <v>474</v>
      </c>
      <c r="F58" s="235">
        <f t="shared" si="10"/>
        <v>1</v>
      </c>
      <c r="G58" s="235">
        <f ca="1">Eval(E58)*F58</f>
        <v>5.7285000000000004</v>
      </c>
      <c r="H58" s="236">
        <f t="shared" si="11"/>
        <v>1</v>
      </c>
      <c r="I58" s="231">
        <f t="shared" ref="I58:I59" ca="1" si="12">ROUND(G58*H58,3)</f>
        <v>5.7290000000000001</v>
      </c>
      <c r="J58" s="233" t="s">
        <v>5</v>
      </c>
    </row>
    <row r="59" spans="1:12">
      <c r="A59" s="233"/>
      <c r="B59" s="233"/>
      <c r="C59" s="237" t="s">
        <v>35</v>
      </c>
      <c r="D59" s="233" t="s">
        <v>55</v>
      </c>
      <c r="E59" s="239" t="s">
        <v>475</v>
      </c>
      <c r="F59" s="235">
        <f t="shared" si="10"/>
        <v>1</v>
      </c>
      <c r="G59" s="235">
        <f ca="1">Eval(E59)*F59</f>
        <v>-0.17149999999999999</v>
      </c>
      <c r="H59" s="236">
        <f t="shared" si="11"/>
        <v>1</v>
      </c>
      <c r="I59" s="231">
        <f t="shared" ca="1" si="12"/>
        <v>-0.17199999999999999</v>
      </c>
      <c r="J59" s="233" t="s">
        <v>5</v>
      </c>
    </row>
    <row r="60" spans="1:12">
      <c r="A60" s="233">
        <f>IF(LEN(B60)=0," ",COUNTA($B$30:B60))</f>
        <v>17</v>
      </c>
      <c r="B60" s="233">
        <v>2</v>
      </c>
      <c r="C60" s="234" t="s">
        <v>441</v>
      </c>
      <c r="D60" s="233"/>
      <c r="E60" s="234"/>
      <c r="F60" s="235">
        <f t="shared" si="10"/>
        <v>1</v>
      </c>
      <c r="G60" s="235">
        <f ca="1">G61+G62</f>
        <v>27.198</v>
      </c>
      <c r="H60" s="236">
        <f t="shared" si="11"/>
        <v>1</v>
      </c>
      <c r="I60" s="231">
        <f ca="1">SUM(I61:I62)</f>
        <v>27.198</v>
      </c>
      <c r="J60" s="233" t="s">
        <v>5</v>
      </c>
    </row>
    <row r="61" spans="1:12" s="246" customFormat="1">
      <c r="A61" s="233"/>
      <c r="B61" s="233"/>
      <c r="C61" s="237" t="s">
        <v>344</v>
      </c>
      <c r="D61" s="233" t="s">
        <v>54</v>
      </c>
      <c r="E61" s="233" t="s">
        <v>477</v>
      </c>
      <c r="F61" s="235">
        <f t="shared" si="10"/>
        <v>1</v>
      </c>
      <c r="G61" s="235">
        <f ca="1">Eval(E61)*F61</f>
        <v>27.369499999999999</v>
      </c>
      <c r="H61" s="236">
        <f t="shared" si="11"/>
        <v>1</v>
      </c>
      <c r="I61" s="231">
        <f t="shared" ref="I61:I78" ca="1" si="13">ROUND(G61*H61,3)</f>
        <v>27.37</v>
      </c>
      <c r="J61" s="233" t="s">
        <v>5</v>
      </c>
    </row>
    <row r="62" spans="1:12">
      <c r="A62" s="233"/>
      <c r="B62" s="233"/>
      <c r="C62" s="237" t="s">
        <v>35</v>
      </c>
      <c r="D62" s="233" t="s">
        <v>55</v>
      </c>
      <c r="E62" s="240" t="s">
        <v>475</v>
      </c>
      <c r="F62" s="235">
        <f t="shared" si="10"/>
        <v>1</v>
      </c>
      <c r="G62" s="235">
        <f ca="1">Eval(E62)*F62</f>
        <v>-0.17149999999999999</v>
      </c>
      <c r="H62" s="236">
        <f t="shared" si="11"/>
        <v>1</v>
      </c>
      <c r="I62" s="231">
        <f t="shared" ca="1" si="13"/>
        <v>-0.17199999999999999</v>
      </c>
      <c r="J62" s="233" t="s">
        <v>5</v>
      </c>
    </row>
    <row r="63" spans="1:12">
      <c r="A63" s="233">
        <f>IF(LEN(B63)=0," ",COUNTA($B$30:B63))</f>
        <v>18</v>
      </c>
      <c r="B63" s="233">
        <v>3</v>
      </c>
      <c r="C63" s="234" t="s">
        <v>438</v>
      </c>
      <c r="D63" s="233" t="s">
        <v>56</v>
      </c>
      <c r="E63" s="241" t="s">
        <v>476</v>
      </c>
      <c r="F63" s="235">
        <f t="shared" si="10"/>
        <v>1</v>
      </c>
      <c r="G63" s="235">
        <f ca="1">Eval(E63)*F63</f>
        <v>14.333979999999999</v>
      </c>
      <c r="H63" s="236">
        <f t="shared" si="11"/>
        <v>1</v>
      </c>
      <c r="I63" s="231">
        <f t="shared" ca="1" si="13"/>
        <v>14.334</v>
      </c>
      <c r="J63" s="233" t="s">
        <v>5</v>
      </c>
    </row>
    <row r="64" spans="1:12">
      <c r="A64" s="233">
        <f>IF(LEN(B64)=0," ",COUNTA($B$30:B64))</f>
        <v>19</v>
      </c>
      <c r="B64" s="233">
        <v>4</v>
      </c>
      <c r="C64" s="234" t="s">
        <v>439</v>
      </c>
      <c r="D64" s="233" t="s">
        <v>57</v>
      </c>
      <c r="E64" s="242" t="s">
        <v>454</v>
      </c>
      <c r="F64" s="235">
        <f t="shared" si="10"/>
        <v>1</v>
      </c>
      <c r="G64" s="235">
        <f ca="1">Eval(E64)*F64</f>
        <v>0.42779999999999996</v>
      </c>
      <c r="H64" s="236">
        <f>$I$56*3</f>
        <v>3</v>
      </c>
      <c r="I64" s="231">
        <f t="shared" ca="1" si="13"/>
        <v>1.2829999999999999</v>
      </c>
      <c r="J64" s="233" t="s">
        <v>5</v>
      </c>
    </row>
    <row r="65" spans="1:10">
      <c r="A65" s="233">
        <f>IF(LEN(B65)=0," ",COUNTA($B$30:B65))</f>
        <v>20</v>
      </c>
      <c r="B65" s="233">
        <v>5</v>
      </c>
      <c r="C65" s="234" t="s">
        <v>39</v>
      </c>
      <c r="D65" s="333" t="s">
        <v>59</v>
      </c>
      <c r="E65" s="334"/>
      <c r="F65" s="235">
        <f t="shared" si="10"/>
        <v>1E-3</v>
      </c>
      <c r="G65" s="235">
        <v>2.9000000000000001E-2</v>
      </c>
      <c r="H65" s="236">
        <f t="shared" ref="H65:H74" si="14">$I$56</f>
        <v>1</v>
      </c>
      <c r="I65" s="231">
        <f t="shared" si="13"/>
        <v>2.9000000000000001E-2</v>
      </c>
      <c r="J65" s="233" t="s">
        <v>10</v>
      </c>
    </row>
    <row r="66" spans="1:10">
      <c r="A66" s="233">
        <f>IF(LEN(B66)=0," ",COUNTA($B$30:B66))</f>
        <v>21</v>
      </c>
      <c r="B66" s="233">
        <v>6</v>
      </c>
      <c r="C66" s="234" t="s">
        <v>40</v>
      </c>
      <c r="D66" s="333" t="s">
        <v>59</v>
      </c>
      <c r="E66" s="334"/>
      <c r="F66" s="235">
        <f t="shared" si="10"/>
        <v>1E-3</v>
      </c>
      <c r="G66" s="235">
        <v>1.071</v>
      </c>
      <c r="H66" s="236">
        <f t="shared" si="14"/>
        <v>1</v>
      </c>
      <c r="I66" s="231">
        <f t="shared" si="13"/>
        <v>1.071</v>
      </c>
      <c r="J66" s="233" t="s">
        <v>10</v>
      </c>
    </row>
    <row r="67" spans="1:10">
      <c r="A67" s="233">
        <f>IF(LEN(B67)=0," ",COUNTA($B$30:B67))</f>
        <v>22</v>
      </c>
      <c r="B67" s="233">
        <v>7</v>
      </c>
      <c r="C67" s="234" t="s">
        <v>41</v>
      </c>
      <c r="D67" s="333" t="s">
        <v>59</v>
      </c>
      <c r="E67" s="334"/>
      <c r="F67" s="235">
        <f t="shared" si="10"/>
        <v>1E-3</v>
      </c>
      <c r="G67" s="255">
        <v>2.3E-2</v>
      </c>
      <c r="H67" s="236">
        <f t="shared" si="14"/>
        <v>1</v>
      </c>
      <c r="I67" s="231">
        <f t="shared" si="13"/>
        <v>2.3E-2</v>
      </c>
      <c r="J67" s="233" t="s">
        <v>10</v>
      </c>
    </row>
    <row r="68" spans="1:10">
      <c r="A68" s="233">
        <f>IF(LEN(B68)=0," ",COUNTA($B$30:B68))</f>
        <v>23</v>
      </c>
      <c r="B68" s="233">
        <v>8</v>
      </c>
      <c r="C68" s="234" t="s">
        <v>42</v>
      </c>
      <c r="D68" s="333" t="s">
        <v>59</v>
      </c>
      <c r="E68" s="334"/>
      <c r="F68" s="235">
        <f t="shared" si="10"/>
        <v>1E-3</v>
      </c>
      <c r="G68" s="255">
        <v>0.90600000000000003</v>
      </c>
      <c r="H68" s="236">
        <f t="shared" si="14"/>
        <v>1</v>
      </c>
      <c r="I68" s="231">
        <f t="shared" si="13"/>
        <v>0.90600000000000003</v>
      </c>
      <c r="J68" s="233" t="s">
        <v>10</v>
      </c>
    </row>
    <row r="69" spans="1:10">
      <c r="A69" s="233">
        <f>IF(LEN(B69)=0," ",COUNTA($B$30:B69))</f>
        <v>24</v>
      </c>
      <c r="B69" s="233">
        <v>9</v>
      </c>
      <c r="C69" s="234" t="s">
        <v>61</v>
      </c>
      <c r="D69" s="333" t="s">
        <v>59</v>
      </c>
      <c r="E69" s="334"/>
      <c r="F69" s="235">
        <f t="shared" si="10"/>
        <v>1E-3</v>
      </c>
      <c r="G69" s="255">
        <v>0.183</v>
      </c>
      <c r="H69" s="236">
        <f>$I$56*3</f>
        <v>3</v>
      </c>
      <c r="I69" s="231">
        <f t="shared" si="13"/>
        <v>0.54900000000000004</v>
      </c>
      <c r="J69" s="233" t="s">
        <v>10</v>
      </c>
    </row>
    <row r="70" spans="1:10">
      <c r="A70" s="233">
        <f>IF(LEN(B70)=0," ",COUNTA($B$30:B70))</f>
        <v>25</v>
      </c>
      <c r="B70" s="233">
        <v>10</v>
      </c>
      <c r="C70" s="234" t="s">
        <v>43</v>
      </c>
      <c r="D70" s="233" t="s">
        <v>79</v>
      </c>
      <c r="E70" s="242" t="s">
        <v>478</v>
      </c>
      <c r="F70" s="235">
        <f t="shared" si="10"/>
        <v>0.01</v>
      </c>
      <c r="G70" s="255">
        <f ca="1">Eval(E70)*F70</f>
        <v>2.9960000000000004E-2</v>
      </c>
      <c r="H70" s="236">
        <f t="shared" si="14"/>
        <v>1</v>
      </c>
      <c r="I70" s="231">
        <f t="shared" ca="1" si="13"/>
        <v>0.03</v>
      </c>
      <c r="J70" s="233" t="s">
        <v>4</v>
      </c>
    </row>
    <row r="71" spans="1:10">
      <c r="A71" s="233">
        <f>IF(LEN(B71)=0," ",COUNTA($B$30:B71))</f>
        <v>26</v>
      </c>
      <c r="B71" s="233">
        <v>11</v>
      </c>
      <c r="C71" s="234" t="s">
        <v>44</v>
      </c>
      <c r="D71" s="233" t="s">
        <v>62</v>
      </c>
      <c r="E71" s="233" t="s">
        <v>479</v>
      </c>
      <c r="F71" s="235">
        <f t="shared" si="10"/>
        <v>0.01</v>
      </c>
      <c r="G71" s="255">
        <f ca="1">Eval(E71)*F71</f>
        <v>0.14880000000000002</v>
      </c>
      <c r="H71" s="236">
        <f t="shared" si="14"/>
        <v>1</v>
      </c>
      <c r="I71" s="231">
        <f t="shared" ca="1" si="13"/>
        <v>0.14899999999999999</v>
      </c>
      <c r="J71" s="233" t="s">
        <v>4</v>
      </c>
    </row>
    <row r="72" spans="1:10">
      <c r="A72" s="233">
        <f>IF(LEN(B72)=0," ",COUNTA($B$30:B72))</f>
        <v>27</v>
      </c>
      <c r="B72" s="233">
        <v>12</v>
      </c>
      <c r="C72" s="234" t="s">
        <v>12</v>
      </c>
      <c r="D72" s="233"/>
      <c r="E72" s="243"/>
      <c r="F72" s="235"/>
      <c r="G72" s="255"/>
      <c r="H72" s="236">
        <f t="shared" si="14"/>
        <v>1</v>
      </c>
      <c r="I72" s="231">
        <f ca="1">SUM(I73:I75)</f>
        <v>0.72499999999999998</v>
      </c>
      <c r="J72" s="233" t="s">
        <v>4</v>
      </c>
    </row>
    <row r="73" spans="1:10">
      <c r="A73" s="233"/>
      <c r="B73" s="233"/>
      <c r="C73" s="237" t="s">
        <v>45</v>
      </c>
      <c r="D73" s="233" t="s">
        <v>62</v>
      </c>
      <c r="E73" s="238" t="s">
        <v>480</v>
      </c>
      <c r="F73" s="235">
        <f t="shared" ref="F73:F78" si="15">VLOOKUP(J73,$R$2:$S$22,2,0)</f>
        <v>0.01</v>
      </c>
      <c r="G73" s="255">
        <f t="shared" ref="G73:G78" ca="1" si="16">Eval(E73)*F73</f>
        <v>0.35771300000000006</v>
      </c>
      <c r="H73" s="236">
        <f t="shared" si="14"/>
        <v>1</v>
      </c>
      <c r="I73" s="231">
        <f t="shared" ca="1" si="13"/>
        <v>0.35799999999999998</v>
      </c>
      <c r="J73" s="233" t="s">
        <v>4</v>
      </c>
    </row>
    <row r="74" spans="1:10">
      <c r="A74" s="233"/>
      <c r="B74" s="233"/>
      <c r="C74" s="237" t="s">
        <v>46</v>
      </c>
      <c r="D74" s="233" t="s">
        <v>62</v>
      </c>
      <c r="E74" s="238" t="s">
        <v>481</v>
      </c>
      <c r="F74" s="235">
        <f t="shared" si="15"/>
        <v>0.01</v>
      </c>
      <c r="G74" s="255">
        <f t="shared" ca="1" si="16"/>
        <v>0.35643999999999998</v>
      </c>
      <c r="H74" s="236">
        <f t="shared" si="14"/>
        <v>1</v>
      </c>
      <c r="I74" s="231">
        <f t="shared" ca="1" si="13"/>
        <v>0.35599999999999998</v>
      </c>
      <c r="J74" s="233" t="s">
        <v>4</v>
      </c>
    </row>
    <row r="75" spans="1:10">
      <c r="A75" s="233"/>
      <c r="B75" s="233"/>
      <c r="C75" s="237" t="s">
        <v>47</v>
      </c>
      <c r="D75" s="233" t="s">
        <v>67</v>
      </c>
      <c r="E75" s="248">
        <v>1.1259999999999999</v>
      </c>
      <c r="F75" s="235">
        <f t="shared" si="15"/>
        <v>0.01</v>
      </c>
      <c r="G75" s="255">
        <f>1.126*F75</f>
        <v>1.1259999999999999E-2</v>
      </c>
      <c r="H75" s="236">
        <f t="shared" ref="H75" si="17">$I$194</f>
        <v>1</v>
      </c>
      <c r="I75" s="231">
        <f t="shared" si="13"/>
        <v>1.0999999999999999E-2</v>
      </c>
      <c r="J75" s="233" t="s">
        <v>4</v>
      </c>
    </row>
    <row r="76" spans="1:10">
      <c r="A76" s="233">
        <f>IF(LEN(B76)=0," ",COUNTA($B$30:B76))</f>
        <v>28</v>
      </c>
      <c r="B76" s="233">
        <v>13</v>
      </c>
      <c r="C76" s="234" t="s">
        <v>48</v>
      </c>
      <c r="D76" s="233" t="s">
        <v>69</v>
      </c>
      <c r="E76" s="242" t="s">
        <v>457</v>
      </c>
      <c r="F76" s="235">
        <f t="shared" si="15"/>
        <v>0.01</v>
      </c>
      <c r="G76" s="255">
        <f t="shared" ca="1" si="16"/>
        <v>3.6170000000000001E-2</v>
      </c>
      <c r="H76" s="236">
        <f>$I$56*3</f>
        <v>3</v>
      </c>
      <c r="I76" s="231">
        <f t="shared" ca="1" si="13"/>
        <v>0.109</v>
      </c>
      <c r="J76" s="233" t="s">
        <v>4</v>
      </c>
    </row>
    <row r="77" spans="1:10">
      <c r="A77" s="233">
        <f>IF(LEN(B77)=0," ",COUNTA($B$30:B77))</f>
        <v>29</v>
      </c>
      <c r="B77" s="233">
        <v>14</v>
      </c>
      <c r="C77" s="234" t="s">
        <v>440</v>
      </c>
      <c r="D77" s="233" t="s">
        <v>72</v>
      </c>
      <c r="E77" s="233" t="s">
        <v>482</v>
      </c>
      <c r="F77" s="235">
        <f t="shared" si="15"/>
        <v>1</v>
      </c>
      <c r="G77" s="255">
        <f t="shared" ca="1" si="16"/>
        <v>13</v>
      </c>
      <c r="H77" s="236">
        <f>$I$56</f>
        <v>1</v>
      </c>
      <c r="I77" s="231">
        <f t="shared" ca="1" si="13"/>
        <v>13</v>
      </c>
      <c r="J77" s="233" t="s">
        <v>2</v>
      </c>
    </row>
    <row r="78" spans="1:10">
      <c r="A78" s="233">
        <f>IF(LEN(B78)=0," ",COUNTA($B$30:B101))</f>
        <v>45</v>
      </c>
      <c r="B78" s="233">
        <v>15</v>
      </c>
      <c r="C78" s="234" t="s">
        <v>124</v>
      </c>
      <c r="D78" s="233" t="s">
        <v>71</v>
      </c>
      <c r="E78" s="245" t="s">
        <v>458</v>
      </c>
      <c r="F78" s="235">
        <f t="shared" si="15"/>
        <v>1</v>
      </c>
      <c r="G78" s="255">
        <f t="shared" ca="1" si="16"/>
        <v>6.7</v>
      </c>
      <c r="H78" s="236">
        <f>$I$56</f>
        <v>1</v>
      </c>
      <c r="I78" s="231">
        <f t="shared" ca="1" si="13"/>
        <v>6.7</v>
      </c>
      <c r="J78" s="233" t="s">
        <v>2</v>
      </c>
    </row>
    <row r="79" spans="1:10">
      <c r="A79" s="229" t="s">
        <v>81</v>
      </c>
      <c r="B79" s="229"/>
      <c r="C79" s="230" t="s">
        <v>446</v>
      </c>
      <c r="D79" s="229"/>
      <c r="E79" s="229"/>
      <c r="F79" s="231"/>
      <c r="G79" s="231"/>
      <c r="H79" s="232"/>
      <c r="I79" s="231">
        <v>1</v>
      </c>
      <c r="J79" s="229" t="s">
        <v>24</v>
      </c>
    </row>
    <row r="80" spans="1:10">
      <c r="A80" s="233">
        <f>IF(LEN(B80)=0," ",COUNTA($B$30:B80))</f>
        <v>31</v>
      </c>
      <c r="B80" s="233">
        <v>1</v>
      </c>
      <c r="C80" s="234" t="s">
        <v>560</v>
      </c>
      <c r="D80" s="233"/>
      <c r="E80" s="229"/>
      <c r="F80" s="235">
        <f t="shared" ref="F80:F94" si="18">VLOOKUP(J80,$R$2:$S$22,2,0)</f>
        <v>1</v>
      </c>
      <c r="G80" s="235">
        <f ca="1">G81+G82</f>
        <v>5.1630000000000003</v>
      </c>
      <c r="H80" s="236">
        <f t="shared" ref="H80:H86" si="19">$I$79</f>
        <v>1</v>
      </c>
      <c r="I80" s="231">
        <f ca="1">SUM(I81:I82)</f>
        <v>5.1629999999999994</v>
      </c>
      <c r="J80" s="233" t="s">
        <v>5</v>
      </c>
    </row>
    <row r="81" spans="1:10">
      <c r="A81" s="233"/>
      <c r="B81" s="233"/>
      <c r="C81" s="237" t="s">
        <v>342</v>
      </c>
      <c r="D81" s="233" t="s">
        <v>76</v>
      </c>
      <c r="E81" s="238" t="s">
        <v>451</v>
      </c>
      <c r="F81" s="235">
        <f t="shared" si="18"/>
        <v>1</v>
      </c>
      <c r="G81" s="235">
        <f ca="1">Eval(E81)*F81</f>
        <v>5.3100000000000005</v>
      </c>
      <c r="H81" s="236">
        <f t="shared" si="19"/>
        <v>1</v>
      </c>
      <c r="I81" s="231">
        <f t="shared" ref="I81:I85" ca="1" si="20">ROUND(G81*H81,3)</f>
        <v>5.31</v>
      </c>
      <c r="J81" s="233" t="s">
        <v>5</v>
      </c>
    </row>
    <row r="82" spans="1:10">
      <c r="A82" s="233"/>
      <c r="B82" s="233"/>
      <c r="C82" s="237" t="s">
        <v>35</v>
      </c>
      <c r="D82" s="233" t="s">
        <v>55</v>
      </c>
      <c r="E82" s="239" t="s">
        <v>483</v>
      </c>
      <c r="F82" s="235">
        <f t="shared" si="18"/>
        <v>1</v>
      </c>
      <c r="G82" s="235">
        <f ca="1">Eval(E82)*F82</f>
        <v>-0.14699999999999999</v>
      </c>
      <c r="H82" s="236">
        <f t="shared" si="19"/>
        <v>1</v>
      </c>
      <c r="I82" s="231">
        <f t="shared" ca="1" si="20"/>
        <v>-0.14699999999999999</v>
      </c>
      <c r="J82" s="233" t="s">
        <v>5</v>
      </c>
    </row>
    <row r="83" spans="1:10">
      <c r="A83" s="233">
        <f>IF(LEN(B83)=0," ",COUNTA($B$30:B83))</f>
        <v>32</v>
      </c>
      <c r="B83" s="233">
        <v>2</v>
      </c>
      <c r="C83" s="234" t="s">
        <v>437</v>
      </c>
      <c r="D83" s="233"/>
      <c r="E83" s="234"/>
      <c r="F83" s="235">
        <f t="shared" si="18"/>
        <v>1</v>
      </c>
      <c r="G83" s="235">
        <f ca="1">G84+G85</f>
        <v>25.223000000000003</v>
      </c>
      <c r="H83" s="236">
        <f t="shared" si="19"/>
        <v>1</v>
      </c>
      <c r="I83" s="231">
        <f ca="1">SUM(I84:I85)</f>
        <v>25.223000000000003</v>
      </c>
      <c r="J83" s="233" t="s">
        <v>5</v>
      </c>
    </row>
    <row r="84" spans="1:10" s="246" customFormat="1">
      <c r="A84" s="233"/>
      <c r="B84" s="233"/>
      <c r="C84" s="237" t="s">
        <v>344</v>
      </c>
      <c r="D84" s="233" t="s">
        <v>54</v>
      </c>
      <c r="E84" s="233" t="s">
        <v>452</v>
      </c>
      <c r="F84" s="235">
        <f t="shared" si="18"/>
        <v>1</v>
      </c>
      <c r="G84" s="235">
        <f ca="1">Eval(E84)*F84</f>
        <v>25.37</v>
      </c>
      <c r="H84" s="236">
        <f t="shared" si="19"/>
        <v>1</v>
      </c>
      <c r="I84" s="231">
        <f t="shared" ca="1" si="20"/>
        <v>25.37</v>
      </c>
      <c r="J84" s="233" t="s">
        <v>5</v>
      </c>
    </row>
    <row r="85" spans="1:10">
      <c r="A85" s="233"/>
      <c r="B85" s="233"/>
      <c r="C85" s="237" t="s">
        <v>35</v>
      </c>
      <c r="D85" s="233" t="s">
        <v>55</v>
      </c>
      <c r="E85" s="240" t="s">
        <v>483</v>
      </c>
      <c r="F85" s="235">
        <f t="shared" si="18"/>
        <v>1</v>
      </c>
      <c r="G85" s="235">
        <f ca="1">Eval(E85)*F85</f>
        <v>-0.14699999999999999</v>
      </c>
      <c r="H85" s="236">
        <f t="shared" si="19"/>
        <v>1</v>
      </c>
      <c r="I85" s="231">
        <f t="shared" ca="1" si="20"/>
        <v>-0.14699999999999999</v>
      </c>
      <c r="J85" s="233" t="s">
        <v>5</v>
      </c>
    </row>
    <row r="86" spans="1:10">
      <c r="A86" s="233">
        <f>IF(LEN(B86)=0," ",COUNTA($B$30:B86))</f>
        <v>33</v>
      </c>
      <c r="B86" s="233">
        <v>3</v>
      </c>
      <c r="C86" s="234" t="s">
        <v>438</v>
      </c>
      <c r="D86" s="233" t="s">
        <v>56</v>
      </c>
      <c r="E86" s="241" t="s">
        <v>453</v>
      </c>
      <c r="F86" s="235">
        <f t="shared" si="18"/>
        <v>1</v>
      </c>
      <c r="G86" s="235">
        <f ca="1">Eval(E86)*F86</f>
        <v>13.286799999999999</v>
      </c>
      <c r="H86" s="236">
        <f t="shared" si="19"/>
        <v>1</v>
      </c>
      <c r="I86" s="231">
        <f t="shared" ref="I86:I94" ca="1" si="21">G86*H86</f>
        <v>13.286799999999999</v>
      </c>
      <c r="J86" s="233" t="s">
        <v>5</v>
      </c>
    </row>
    <row r="87" spans="1:10">
      <c r="A87" s="233">
        <f>IF(LEN(B87)=0," ",COUNTA($B$30:B87))</f>
        <v>34</v>
      </c>
      <c r="B87" s="233">
        <v>4</v>
      </c>
      <c r="C87" s="234" t="s">
        <v>439</v>
      </c>
      <c r="D87" s="233" t="s">
        <v>57</v>
      </c>
      <c r="E87" s="242" t="s">
        <v>454</v>
      </c>
      <c r="F87" s="235">
        <f t="shared" si="18"/>
        <v>1</v>
      </c>
      <c r="G87" s="235">
        <f ca="1">Eval(E87)*F87</f>
        <v>0.42779999999999996</v>
      </c>
      <c r="H87" s="236">
        <f>$I$79*3</f>
        <v>3</v>
      </c>
      <c r="I87" s="231">
        <f t="shared" ca="1" si="21"/>
        <v>1.2833999999999999</v>
      </c>
      <c r="J87" s="233" t="s">
        <v>5</v>
      </c>
    </row>
    <row r="88" spans="1:10">
      <c r="A88" s="233">
        <f>IF(LEN(B88)=0," ",COUNTA($B$30:B88))</f>
        <v>35</v>
      </c>
      <c r="B88" s="233">
        <v>5</v>
      </c>
      <c r="C88" s="234" t="s">
        <v>39</v>
      </c>
      <c r="D88" s="333" t="s">
        <v>59</v>
      </c>
      <c r="E88" s="334"/>
      <c r="F88" s="235">
        <f t="shared" si="18"/>
        <v>1E-3</v>
      </c>
      <c r="G88" s="235">
        <v>2.7E-2</v>
      </c>
      <c r="H88" s="236">
        <f t="shared" ref="H88:H97" si="22">$I$79</f>
        <v>1</v>
      </c>
      <c r="I88" s="231">
        <f t="shared" si="21"/>
        <v>2.7E-2</v>
      </c>
      <c r="J88" s="233" t="s">
        <v>10</v>
      </c>
    </row>
    <row r="89" spans="1:10">
      <c r="A89" s="233">
        <f>IF(LEN(B89)=0," ",COUNTA($B$30:B89))</f>
        <v>36</v>
      </c>
      <c r="B89" s="233">
        <v>6</v>
      </c>
      <c r="C89" s="234" t="s">
        <v>40</v>
      </c>
      <c r="D89" s="333" t="s">
        <v>59</v>
      </c>
      <c r="E89" s="334"/>
      <c r="F89" s="235">
        <f t="shared" si="18"/>
        <v>1E-3</v>
      </c>
      <c r="G89" s="235">
        <v>0.99299999999999999</v>
      </c>
      <c r="H89" s="236">
        <f t="shared" si="22"/>
        <v>1</v>
      </c>
      <c r="I89" s="231">
        <f t="shared" si="21"/>
        <v>0.99299999999999999</v>
      </c>
      <c r="J89" s="233" t="s">
        <v>10</v>
      </c>
    </row>
    <row r="90" spans="1:10">
      <c r="A90" s="233">
        <f>IF(LEN(B90)=0," ",COUNTA($B$30:B90))</f>
        <v>37</v>
      </c>
      <c r="B90" s="233">
        <v>7</v>
      </c>
      <c r="C90" s="234" t="s">
        <v>41</v>
      </c>
      <c r="D90" s="333" t="s">
        <v>59</v>
      </c>
      <c r="E90" s="334"/>
      <c r="F90" s="235">
        <f t="shared" si="18"/>
        <v>1E-3</v>
      </c>
      <c r="G90" s="255">
        <v>2.1000000000000001E-2</v>
      </c>
      <c r="H90" s="236">
        <f t="shared" si="22"/>
        <v>1</v>
      </c>
      <c r="I90" s="231">
        <f t="shared" si="21"/>
        <v>2.1000000000000001E-2</v>
      </c>
      <c r="J90" s="233" t="s">
        <v>10</v>
      </c>
    </row>
    <row r="91" spans="1:10">
      <c r="A91" s="233">
        <f>IF(LEN(B91)=0," ",COUNTA($B$30:B91))</f>
        <v>38</v>
      </c>
      <c r="B91" s="233">
        <v>8</v>
      </c>
      <c r="C91" s="234" t="s">
        <v>42</v>
      </c>
      <c r="D91" s="333" t="s">
        <v>59</v>
      </c>
      <c r="E91" s="334"/>
      <c r="F91" s="235">
        <f t="shared" si="18"/>
        <v>1E-3</v>
      </c>
      <c r="G91" s="255">
        <v>0.84</v>
      </c>
      <c r="H91" s="236">
        <f t="shared" si="22"/>
        <v>1</v>
      </c>
      <c r="I91" s="231">
        <f t="shared" si="21"/>
        <v>0.84</v>
      </c>
      <c r="J91" s="233" t="s">
        <v>10</v>
      </c>
    </row>
    <row r="92" spans="1:10">
      <c r="A92" s="233">
        <f>IF(LEN(B92)=0," ",COUNTA($B$30:B92))</f>
        <v>39</v>
      </c>
      <c r="B92" s="233">
        <v>9</v>
      </c>
      <c r="C92" s="234" t="s">
        <v>61</v>
      </c>
      <c r="D92" s="333" t="s">
        <v>59</v>
      </c>
      <c r="E92" s="334"/>
      <c r="F92" s="235">
        <f t="shared" si="18"/>
        <v>1E-3</v>
      </c>
      <c r="G92" s="255">
        <v>0.17</v>
      </c>
      <c r="H92" s="236">
        <f>$I$79*3</f>
        <v>3</v>
      </c>
      <c r="I92" s="231">
        <f t="shared" si="21"/>
        <v>0.51</v>
      </c>
      <c r="J92" s="233" t="s">
        <v>10</v>
      </c>
    </row>
    <row r="93" spans="1:10">
      <c r="A93" s="233">
        <f>IF(LEN(B93)=0," ",COUNTA($B$30:B93))</f>
        <v>40</v>
      </c>
      <c r="B93" s="233">
        <v>10</v>
      </c>
      <c r="C93" s="234" t="s">
        <v>43</v>
      </c>
      <c r="D93" s="233" t="s">
        <v>79</v>
      </c>
      <c r="E93" s="242" t="s">
        <v>455</v>
      </c>
      <c r="F93" s="235">
        <f t="shared" si="18"/>
        <v>0.01</v>
      </c>
      <c r="G93" s="255">
        <f ca="1">Eval(E93)*F93</f>
        <v>2.8100000000000007E-2</v>
      </c>
      <c r="H93" s="236">
        <f t="shared" si="22"/>
        <v>1</v>
      </c>
      <c r="I93" s="231">
        <f t="shared" ca="1" si="21"/>
        <v>2.8100000000000007E-2</v>
      </c>
      <c r="J93" s="233" t="s">
        <v>4</v>
      </c>
    </row>
    <row r="94" spans="1:10">
      <c r="A94" s="233">
        <f>IF(LEN(B94)=0," ",COUNTA($B$30:B94))</f>
        <v>41</v>
      </c>
      <c r="B94" s="233">
        <v>11</v>
      </c>
      <c r="C94" s="234" t="s">
        <v>44</v>
      </c>
      <c r="D94" s="233" t="s">
        <v>62</v>
      </c>
      <c r="E94" s="233" t="s">
        <v>456</v>
      </c>
      <c r="F94" s="235">
        <f t="shared" si="18"/>
        <v>0.01</v>
      </c>
      <c r="G94" s="255">
        <f ca="1">Eval(E94)*F94</f>
        <v>0.13950000000000001</v>
      </c>
      <c r="H94" s="236">
        <f t="shared" si="22"/>
        <v>1</v>
      </c>
      <c r="I94" s="231">
        <f t="shared" ca="1" si="21"/>
        <v>0.13950000000000001</v>
      </c>
      <c r="J94" s="233" t="s">
        <v>4</v>
      </c>
    </row>
    <row r="95" spans="1:10">
      <c r="A95" s="233">
        <f>IF(LEN(B95)=0," ",COUNTA($B$30:B95))</f>
        <v>42</v>
      </c>
      <c r="B95" s="233">
        <v>12</v>
      </c>
      <c r="C95" s="234" t="s">
        <v>12</v>
      </c>
      <c r="D95" s="233"/>
      <c r="E95" s="243"/>
      <c r="F95" s="235"/>
      <c r="G95" s="255"/>
      <c r="H95" s="236">
        <f t="shared" si="22"/>
        <v>1</v>
      </c>
      <c r="I95" s="231">
        <f ca="1">SUM(I96:I98)</f>
        <v>0.67324000000000006</v>
      </c>
      <c r="J95" s="233" t="s">
        <v>4</v>
      </c>
    </row>
    <row r="96" spans="1:10">
      <c r="A96" s="233"/>
      <c r="B96" s="233"/>
      <c r="C96" s="237" t="s">
        <v>45</v>
      </c>
      <c r="D96" s="233" t="s">
        <v>62</v>
      </c>
      <c r="E96" s="238" t="s">
        <v>66</v>
      </c>
      <c r="F96" s="235">
        <f t="shared" ref="F96:F101" si="23">VLOOKUP(J96,$R$2:$S$22,2,0)</f>
        <v>0.01</v>
      </c>
      <c r="G96" s="255">
        <f t="shared" ref="G96:G101" ca="1" si="24">Eval(E96)*F96</f>
        <v>0.33158000000000004</v>
      </c>
      <c r="H96" s="236">
        <f t="shared" si="22"/>
        <v>1</v>
      </c>
      <c r="I96" s="231">
        <f t="shared" ref="I96:I101" ca="1" si="25">G96*H96</f>
        <v>0.33158000000000004</v>
      </c>
      <c r="J96" s="233" t="s">
        <v>4</v>
      </c>
    </row>
    <row r="97" spans="1:10">
      <c r="A97" s="233"/>
      <c r="B97" s="233"/>
      <c r="C97" s="237" t="s">
        <v>46</v>
      </c>
      <c r="D97" s="233" t="s">
        <v>62</v>
      </c>
      <c r="E97" s="238" t="s">
        <v>65</v>
      </c>
      <c r="F97" s="235">
        <f t="shared" si="23"/>
        <v>0.01</v>
      </c>
      <c r="G97" s="255">
        <f t="shared" ca="1" si="24"/>
        <v>0.33039999999999997</v>
      </c>
      <c r="H97" s="236">
        <f t="shared" si="22"/>
        <v>1</v>
      </c>
      <c r="I97" s="231">
        <f t="shared" ca="1" si="25"/>
        <v>0.33039999999999997</v>
      </c>
      <c r="J97" s="233" t="s">
        <v>4</v>
      </c>
    </row>
    <row r="98" spans="1:10">
      <c r="A98" s="233"/>
      <c r="B98" s="233"/>
      <c r="C98" s="237" t="s">
        <v>47</v>
      </c>
      <c r="D98" s="233" t="s">
        <v>67</v>
      </c>
      <c r="E98" s="248">
        <v>1.1259999999999999</v>
      </c>
      <c r="F98" s="235">
        <f t="shared" si="23"/>
        <v>0.01</v>
      </c>
      <c r="G98" s="255">
        <f>1.126*F98</f>
        <v>1.1259999999999999E-2</v>
      </c>
      <c r="H98" s="236">
        <f t="shared" ref="H98" si="26">$I$194</f>
        <v>1</v>
      </c>
      <c r="I98" s="231">
        <f t="shared" si="25"/>
        <v>1.1259999999999999E-2</v>
      </c>
      <c r="J98" s="233" t="s">
        <v>4</v>
      </c>
    </row>
    <row r="99" spans="1:10">
      <c r="A99" s="233">
        <f>IF(LEN(B99)=0," ",COUNTA($B$30:B99))</f>
        <v>43</v>
      </c>
      <c r="B99" s="233">
        <v>13</v>
      </c>
      <c r="C99" s="234" t="s">
        <v>48</v>
      </c>
      <c r="D99" s="233" t="s">
        <v>69</v>
      </c>
      <c r="E99" s="242" t="s">
        <v>457</v>
      </c>
      <c r="F99" s="235">
        <f t="shared" si="23"/>
        <v>0.01</v>
      </c>
      <c r="G99" s="255">
        <f t="shared" ca="1" si="24"/>
        <v>3.6170000000000001E-2</v>
      </c>
      <c r="H99" s="236">
        <f>$I$79*3</f>
        <v>3</v>
      </c>
      <c r="I99" s="231">
        <f t="shared" ca="1" si="25"/>
        <v>0.10851</v>
      </c>
      <c r="J99" s="233" t="s">
        <v>4</v>
      </c>
    </row>
    <row r="100" spans="1:10">
      <c r="A100" s="233">
        <f>IF(LEN(B100)=0," ",COUNTA($B$30:B100))</f>
        <v>44</v>
      </c>
      <c r="B100" s="233">
        <v>14</v>
      </c>
      <c r="C100" s="234" t="s">
        <v>440</v>
      </c>
      <c r="D100" s="233" t="s">
        <v>72</v>
      </c>
      <c r="E100" s="233" t="s">
        <v>459</v>
      </c>
      <c r="F100" s="235">
        <f t="shared" si="23"/>
        <v>1</v>
      </c>
      <c r="G100" s="255">
        <f t="shared" ca="1" si="24"/>
        <v>12</v>
      </c>
      <c r="H100" s="236">
        <f>$I$79</f>
        <v>1</v>
      </c>
      <c r="I100" s="231">
        <f t="shared" ca="1" si="25"/>
        <v>12</v>
      </c>
      <c r="J100" s="233" t="s">
        <v>2</v>
      </c>
    </row>
    <row r="101" spans="1:10">
      <c r="A101" s="233">
        <f>IF(LEN(B101)=0," ",COUNTA($B$30:B101))</f>
        <v>45</v>
      </c>
      <c r="B101" s="233">
        <v>15</v>
      </c>
      <c r="C101" s="234" t="s">
        <v>124</v>
      </c>
      <c r="D101" s="233" t="s">
        <v>71</v>
      </c>
      <c r="E101" s="245" t="s">
        <v>458</v>
      </c>
      <c r="F101" s="235">
        <f t="shared" si="23"/>
        <v>1</v>
      </c>
      <c r="G101" s="255">
        <f t="shared" ca="1" si="24"/>
        <v>6.7</v>
      </c>
      <c r="H101" s="236">
        <f>$I$79</f>
        <v>1</v>
      </c>
      <c r="I101" s="231">
        <f t="shared" ca="1" si="25"/>
        <v>6.7</v>
      </c>
      <c r="J101" s="233" t="s">
        <v>2</v>
      </c>
    </row>
    <row r="102" spans="1:10">
      <c r="A102" s="229" t="s">
        <v>83</v>
      </c>
      <c r="B102" s="229"/>
      <c r="C102" s="230" t="s">
        <v>447</v>
      </c>
      <c r="D102" s="229"/>
      <c r="E102" s="229"/>
      <c r="F102" s="231"/>
      <c r="G102" s="231"/>
      <c r="H102" s="232"/>
      <c r="I102" s="231">
        <v>1</v>
      </c>
      <c r="J102" s="229" t="s">
        <v>24</v>
      </c>
    </row>
    <row r="103" spans="1:10">
      <c r="A103" s="233">
        <f>IF(LEN(B103)=0," ",COUNTA($B$30:B103))</f>
        <v>46</v>
      </c>
      <c r="B103" s="233">
        <v>1</v>
      </c>
      <c r="C103" s="234" t="s">
        <v>560</v>
      </c>
      <c r="D103" s="233"/>
      <c r="E103" s="229"/>
      <c r="F103" s="235">
        <f t="shared" ref="F103:F117" si="27">VLOOKUP(J103,$R$2:$S$22,2,0)</f>
        <v>1</v>
      </c>
      <c r="G103" s="235">
        <f ca="1">G104+G105</f>
        <v>5.1385000000000005</v>
      </c>
      <c r="H103" s="236">
        <f t="shared" ref="H103:H109" si="28">$I$79</f>
        <v>1</v>
      </c>
      <c r="I103" s="231">
        <f ca="1">SUM(I104:I105)</f>
        <v>5.1385000000000005</v>
      </c>
      <c r="J103" s="233" t="s">
        <v>5</v>
      </c>
    </row>
    <row r="104" spans="1:10">
      <c r="A104" s="233"/>
      <c r="B104" s="233"/>
      <c r="C104" s="237" t="s">
        <v>342</v>
      </c>
      <c r="D104" s="233" t="s">
        <v>76</v>
      </c>
      <c r="E104" s="238" t="s">
        <v>451</v>
      </c>
      <c r="F104" s="235">
        <f t="shared" si="27"/>
        <v>1</v>
      </c>
      <c r="G104" s="235">
        <f ca="1">Eval(E104)*F104</f>
        <v>5.3100000000000005</v>
      </c>
      <c r="H104" s="236">
        <f t="shared" si="28"/>
        <v>1</v>
      </c>
      <c r="I104" s="231">
        <f ca="1">G104*H104</f>
        <v>5.3100000000000005</v>
      </c>
      <c r="J104" s="233" t="s">
        <v>5</v>
      </c>
    </row>
    <row r="105" spans="1:10">
      <c r="A105" s="233"/>
      <c r="B105" s="233"/>
      <c r="C105" s="237" t="s">
        <v>35</v>
      </c>
      <c r="D105" s="233" t="s">
        <v>55</v>
      </c>
      <c r="E105" s="239" t="s">
        <v>475</v>
      </c>
      <c r="F105" s="235">
        <f t="shared" si="27"/>
        <v>1</v>
      </c>
      <c r="G105" s="235">
        <f ca="1">Eval(E105)*F105</f>
        <v>-0.17149999999999999</v>
      </c>
      <c r="H105" s="236">
        <f t="shared" si="28"/>
        <v>1</v>
      </c>
      <c r="I105" s="231">
        <f ca="1">G105*H105</f>
        <v>-0.17149999999999999</v>
      </c>
      <c r="J105" s="233" t="s">
        <v>5</v>
      </c>
    </row>
    <row r="106" spans="1:10">
      <c r="A106" s="233">
        <f>IF(LEN(B106)=0," ",COUNTA($B$30:B106))</f>
        <v>47</v>
      </c>
      <c r="B106" s="233">
        <v>2</v>
      </c>
      <c r="C106" s="234" t="s">
        <v>437</v>
      </c>
      <c r="D106" s="233"/>
      <c r="E106" s="234"/>
      <c r="F106" s="235">
        <f t="shared" si="27"/>
        <v>1</v>
      </c>
      <c r="G106" s="235">
        <f ca="1">G107+G108</f>
        <v>25.198500000000003</v>
      </c>
      <c r="H106" s="236">
        <f t="shared" si="28"/>
        <v>1</v>
      </c>
      <c r="I106" s="231">
        <f ca="1">SUM(I107:I108)</f>
        <v>25.198500000000003</v>
      </c>
      <c r="J106" s="233" t="s">
        <v>5</v>
      </c>
    </row>
    <row r="107" spans="1:10" s="246" customFormat="1">
      <c r="A107" s="233"/>
      <c r="B107" s="233"/>
      <c r="C107" s="237" t="s">
        <v>344</v>
      </c>
      <c r="D107" s="233" t="s">
        <v>54</v>
      </c>
      <c r="E107" s="233" t="s">
        <v>452</v>
      </c>
      <c r="F107" s="235">
        <f t="shared" si="27"/>
        <v>1</v>
      </c>
      <c r="G107" s="235">
        <f ca="1">Eval(E107)*F107</f>
        <v>25.37</v>
      </c>
      <c r="H107" s="236">
        <f t="shared" si="28"/>
        <v>1</v>
      </c>
      <c r="I107" s="231">
        <f t="shared" ref="I107:I117" ca="1" si="29">G107*H107</f>
        <v>25.37</v>
      </c>
      <c r="J107" s="233" t="s">
        <v>5</v>
      </c>
    </row>
    <row r="108" spans="1:10">
      <c r="A108" s="233"/>
      <c r="B108" s="233"/>
      <c r="C108" s="237" t="s">
        <v>35</v>
      </c>
      <c r="D108" s="233" t="s">
        <v>55</v>
      </c>
      <c r="E108" s="240" t="s">
        <v>475</v>
      </c>
      <c r="F108" s="235">
        <f t="shared" si="27"/>
        <v>1</v>
      </c>
      <c r="G108" s="235">
        <f ca="1">Eval(E108)*F108</f>
        <v>-0.17149999999999999</v>
      </c>
      <c r="H108" s="236">
        <f t="shared" si="28"/>
        <v>1</v>
      </c>
      <c r="I108" s="231">
        <f t="shared" ca="1" si="29"/>
        <v>-0.17149999999999999</v>
      </c>
      <c r="J108" s="233" t="s">
        <v>5</v>
      </c>
    </row>
    <row r="109" spans="1:10">
      <c r="A109" s="233">
        <f>IF(LEN(B109)=0," ",COUNTA($B$30:B109))</f>
        <v>48</v>
      </c>
      <c r="B109" s="233">
        <v>3</v>
      </c>
      <c r="C109" s="234" t="s">
        <v>438</v>
      </c>
      <c r="D109" s="233" t="s">
        <v>56</v>
      </c>
      <c r="E109" s="241" t="s">
        <v>453</v>
      </c>
      <c r="F109" s="235">
        <f t="shared" si="27"/>
        <v>1</v>
      </c>
      <c r="G109" s="235">
        <f ca="1">Eval(E109)*F109</f>
        <v>13.286799999999999</v>
      </c>
      <c r="H109" s="236">
        <f t="shared" si="28"/>
        <v>1</v>
      </c>
      <c r="I109" s="231">
        <f t="shared" ca="1" si="29"/>
        <v>13.286799999999999</v>
      </c>
      <c r="J109" s="233" t="s">
        <v>5</v>
      </c>
    </row>
    <row r="110" spans="1:10">
      <c r="A110" s="233">
        <f>IF(LEN(B110)=0," ",COUNTA($B$30:B110))</f>
        <v>49</v>
      </c>
      <c r="B110" s="233">
        <v>4</v>
      </c>
      <c r="C110" s="234" t="s">
        <v>439</v>
      </c>
      <c r="D110" s="233" t="s">
        <v>57</v>
      </c>
      <c r="E110" s="242" t="s">
        <v>454</v>
      </c>
      <c r="F110" s="235">
        <f t="shared" si="27"/>
        <v>1</v>
      </c>
      <c r="G110" s="235">
        <f ca="1">Eval(E110)*F110</f>
        <v>0.42779999999999996</v>
      </c>
      <c r="H110" s="236">
        <f>$I$79*3</f>
        <v>3</v>
      </c>
      <c r="I110" s="231">
        <f t="shared" ca="1" si="29"/>
        <v>1.2833999999999999</v>
      </c>
      <c r="J110" s="233" t="s">
        <v>5</v>
      </c>
    </row>
    <row r="111" spans="1:10">
      <c r="A111" s="233">
        <f>IF(LEN(B111)=0," ",COUNTA($B$30:B111))</f>
        <v>50</v>
      </c>
      <c r="B111" s="233">
        <v>5</v>
      </c>
      <c r="C111" s="234" t="s">
        <v>39</v>
      </c>
      <c r="D111" s="333" t="s">
        <v>59</v>
      </c>
      <c r="E111" s="334"/>
      <c r="F111" s="235">
        <f t="shared" si="27"/>
        <v>1E-3</v>
      </c>
      <c r="G111" s="235">
        <v>2.7E-2</v>
      </c>
      <c r="H111" s="236">
        <f t="shared" ref="H111:H120" si="30">$I$79</f>
        <v>1</v>
      </c>
      <c r="I111" s="231">
        <f t="shared" si="29"/>
        <v>2.7E-2</v>
      </c>
      <c r="J111" s="233" t="s">
        <v>10</v>
      </c>
    </row>
    <row r="112" spans="1:10">
      <c r="A112" s="233">
        <f>IF(LEN(B112)=0," ",COUNTA($B$30:B112))</f>
        <v>51</v>
      </c>
      <c r="B112" s="233">
        <v>6</v>
      </c>
      <c r="C112" s="234" t="s">
        <v>40</v>
      </c>
      <c r="D112" s="333" t="s">
        <v>59</v>
      </c>
      <c r="E112" s="334"/>
      <c r="F112" s="235">
        <f t="shared" si="27"/>
        <v>1E-3</v>
      </c>
      <c r="G112" s="235">
        <v>0.99299999999999999</v>
      </c>
      <c r="H112" s="236">
        <f t="shared" si="30"/>
        <v>1</v>
      </c>
      <c r="I112" s="231">
        <f t="shared" si="29"/>
        <v>0.99299999999999999</v>
      </c>
      <c r="J112" s="233" t="s">
        <v>10</v>
      </c>
    </row>
    <row r="113" spans="1:10">
      <c r="A113" s="233">
        <f>IF(LEN(B113)=0," ",COUNTA($B$30:B113))</f>
        <v>52</v>
      </c>
      <c r="B113" s="233">
        <v>7</v>
      </c>
      <c r="C113" s="234" t="s">
        <v>41</v>
      </c>
      <c r="D113" s="333" t="s">
        <v>59</v>
      </c>
      <c r="E113" s="334"/>
      <c r="F113" s="235">
        <f t="shared" si="27"/>
        <v>1E-3</v>
      </c>
      <c r="G113" s="255">
        <v>2.1000000000000001E-2</v>
      </c>
      <c r="H113" s="236">
        <f t="shared" si="30"/>
        <v>1</v>
      </c>
      <c r="I113" s="231">
        <f t="shared" si="29"/>
        <v>2.1000000000000001E-2</v>
      </c>
      <c r="J113" s="233" t="s">
        <v>10</v>
      </c>
    </row>
    <row r="114" spans="1:10">
      <c r="A114" s="233">
        <f>IF(LEN(B114)=0," ",COUNTA($B$30:B114))</f>
        <v>53</v>
      </c>
      <c r="B114" s="233">
        <v>8</v>
      </c>
      <c r="C114" s="234" t="s">
        <v>42</v>
      </c>
      <c r="D114" s="333" t="s">
        <v>59</v>
      </c>
      <c r="E114" s="334"/>
      <c r="F114" s="235">
        <f t="shared" si="27"/>
        <v>1E-3</v>
      </c>
      <c r="G114" s="255">
        <v>0.84</v>
      </c>
      <c r="H114" s="236">
        <f t="shared" si="30"/>
        <v>1</v>
      </c>
      <c r="I114" s="231">
        <f t="shared" si="29"/>
        <v>0.84</v>
      </c>
      <c r="J114" s="233" t="s">
        <v>10</v>
      </c>
    </row>
    <row r="115" spans="1:10">
      <c r="A115" s="233">
        <f>IF(LEN(B115)=0," ",COUNTA($B$30:B115))</f>
        <v>54</v>
      </c>
      <c r="B115" s="233">
        <v>9</v>
      </c>
      <c r="C115" s="234" t="s">
        <v>61</v>
      </c>
      <c r="D115" s="333" t="s">
        <v>59</v>
      </c>
      <c r="E115" s="334"/>
      <c r="F115" s="235">
        <f t="shared" si="27"/>
        <v>1E-3</v>
      </c>
      <c r="G115" s="255">
        <v>0.17</v>
      </c>
      <c r="H115" s="236">
        <f>$I$79*3</f>
        <v>3</v>
      </c>
      <c r="I115" s="231">
        <f t="shared" si="29"/>
        <v>0.51</v>
      </c>
      <c r="J115" s="233" t="s">
        <v>10</v>
      </c>
    </row>
    <row r="116" spans="1:10">
      <c r="A116" s="233">
        <f>IF(LEN(B116)=0," ",COUNTA($B$30:B116))</f>
        <v>55</v>
      </c>
      <c r="B116" s="233">
        <v>10</v>
      </c>
      <c r="C116" s="234" t="s">
        <v>43</v>
      </c>
      <c r="D116" s="233" t="s">
        <v>79</v>
      </c>
      <c r="E116" s="242" t="s">
        <v>455</v>
      </c>
      <c r="F116" s="235">
        <f t="shared" si="27"/>
        <v>0.01</v>
      </c>
      <c r="G116" s="255">
        <f ca="1">Eval(E116)*F116</f>
        <v>2.8100000000000007E-2</v>
      </c>
      <c r="H116" s="236">
        <f t="shared" si="30"/>
        <v>1</v>
      </c>
      <c r="I116" s="231">
        <f t="shared" ca="1" si="29"/>
        <v>2.8100000000000007E-2</v>
      </c>
      <c r="J116" s="233" t="s">
        <v>4</v>
      </c>
    </row>
    <row r="117" spans="1:10">
      <c r="A117" s="233">
        <f>IF(LEN(B117)=0," ",COUNTA($B$30:B117))</f>
        <v>56</v>
      </c>
      <c r="B117" s="233">
        <v>11</v>
      </c>
      <c r="C117" s="234" t="s">
        <v>44</v>
      </c>
      <c r="D117" s="233" t="s">
        <v>62</v>
      </c>
      <c r="E117" s="233" t="s">
        <v>456</v>
      </c>
      <c r="F117" s="235">
        <f t="shared" si="27"/>
        <v>0.01</v>
      </c>
      <c r="G117" s="255">
        <f ca="1">Eval(E117)*F117</f>
        <v>0.13950000000000001</v>
      </c>
      <c r="H117" s="236">
        <f t="shared" si="30"/>
        <v>1</v>
      </c>
      <c r="I117" s="231">
        <f t="shared" ca="1" si="29"/>
        <v>0.13950000000000001</v>
      </c>
      <c r="J117" s="233" t="s">
        <v>4</v>
      </c>
    </row>
    <row r="118" spans="1:10">
      <c r="A118" s="233">
        <f>IF(LEN(B118)=0," ",COUNTA($B$30:B118))</f>
        <v>57</v>
      </c>
      <c r="B118" s="233">
        <v>12</v>
      </c>
      <c r="C118" s="234" t="s">
        <v>12</v>
      </c>
      <c r="D118" s="233"/>
      <c r="E118" s="243"/>
      <c r="F118" s="235"/>
      <c r="G118" s="255"/>
      <c r="H118" s="236">
        <f t="shared" si="30"/>
        <v>1</v>
      </c>
      <c r="I118" s="231">
        <f ca="1">SUM(I119:I121)</f>
        <v>0.67324000000000006</v>
      </c>
      <c r="J118" s="233" t="s">
        <v>4</v>
      </c>
    </row>
    <row r="119" spans="1:10">
      <c r="A119" s="233"/>
      <c r="B119" s="233"/>
      <c r="C119" s="237" t="s">
        <v>45</v>
      </c>
      <c r="D119" s="233" t="s">
        <v>62</v>
      </c>
      <c r="E119" s="238" t="s">
        <v>66</v>
      </c>
      <c r="F119" s="235">
        <f t="shared" ref="F119:F124" si="31">VLOOKUP(J119,$R$2:$S$22,2,0)</f>
        <v>0.01</v>
      </c>
      <c r="G119" s="255">
        <f t="shared" ref="G119:G124" ca="1" si="32">Eval(E119)*F119</f>
        <v>0.33158000000000004</v>
      </c>
      <c r="H119" s="236">
        <f t="shared" si="30"/>
        <v>1</v>
      </c>
      <c r="I119" s="231">
        <f t="shared" ref="I119:I121" ca="1" si="33">G119*H119</f>
        <v>0.33158000000000004</v>
      </c>
      <c r="J119" s="233" t="s">
        <v>4</v>
      </c>
    </row>
    <row r="120" spans="1:10">
      <c r="A120" s="233"/>
      <c r="B120" s="233"/>
      <c r="C120" s="237" t="s">
        <v>46</v>
      </c>
      <c r="D120" s="233" t="s">
        <v>62</v>
      </c>
      <c r="E120" s="238" t="s">
        <v>65</v>
      </c>
      <c r="F120" s="235">
        <f t="shared" si="31"/>
        <v>0.01</v>
      </c>
      <c r="G120" s="255">
        <f t="shared" ca="1" si="32"/>
        <v>0.33039999999999997</v>
      </c>
      <c r="H120" s="236">
        <f t="shared" si="30"/>
        <v>1</v>
      </c>
      <c r="I120" s="231">
        <f t="shared" ca="1" si="33"/>
        <v>0.33039999999999997</v>
      </c>
      <c r="J120" s="233" t="s">
        <v>4</v>
      </c>
    </row>
    <row r="121" spans="1:10">
      <c r="A121" s="233"/>
      <c r="B121" s="233"/>
      <c r="C121" s="237" t="s">
        <v>47</v>
      </c>
      <c r="D121" s="233" t="s">
        <v>67</v>
      </c>
      <c r="E121" s="248">
        <v>1.1259999999999999</v>
      </c>
      <c r="F121" s="235">
        <f t="shared" si="31"/>
        <v>0.01</v>
      </c>
      <c r="G121" s="255">
        <f>1.126*F121</f>
        <v>1.1259999999999999E-2</v>
      </c>
      <c r="H121" s="236">
        <f t="shared" ref="H121" si="34">$I$194</f>
        <v>1</v>
      </c>
      <c r="I121" s="231">
        <f t="shared" si="33"/>
        <v>1.1259999999999999E-2</v>
      </c>
      <c r="J121" s="233" t="s">
        <v>4</v>
      </c>
    </row>
    <row r="122" spans="1:10">
      <c r="A122" s="233">
        <f>IF(LEN(B122)=0," ",COUNTA($B$30:B122))</f>
        <v>58</v>
      </c>
      <c r="B122" s="233">
        <v>13</v>
      </c>
      <c r="C122" s="234" t="s">
        <v>48</v>
      </c>
      <c r="D122" s="233" t="s">
        <v>69</v>
      </c>
      <c r="E122" s="242" t="s">
        <v>457</v>
      </c>
      <c r="F122" s="235">
        <f t="shared" si="31"/>
        <v>0.01</v>
      </c>
      <c r="G122" s="255">
        <f t="shared" ca="1" si="32"/>
        <v>3.6170000000000001E-2</v>
      </c>
      <c r="H122" s="236">
        <f>$I$79*3</f>
        <v>3</v>
      </c>
      <c r="I122" s="231">
        <f t="shared" ref="I122:I124" ca="1" si="35">G122*H122</f>
        <v>0.10851</v>
      </c>
      <c r="J122" s="233" t="s">
        <v>4</v>
      </c>
    </row>
    <row r="123" spans="1:10">
      <c r="A123" s="233">
        <f>IF(LEN(B123)=0," ",COUNTA($B$30:B123))</f>
        <v>59</v>
      </c>
      <c r="B123" s="233">
        <v>14</v>
      </c>
      <c r="C123" s="234" t="s">
        <v>440</v>
      </c>
      <c r="D123" s="233" t="s">
        <v>72</v>
      </c>
      <c r="E123" s="233" t="s">
        <v>459</v>
      </c>
      <c r="F123" s="235">
        <f t="shared" si="31"/>
        <v>1</v>
      </c>
      <c r="G123" s="255">
        <f t="shared" ca="1" si="32"/>
        <v>12</v>
      </c>
      <c r="H123" s="236">
        <f>$I$79</f>
        <v>1</v>
      </c>
      <c r="I123" s="231">
        <f t="shared" ca="1" si="35"/>
        <v>12</v>
      </c>
      <c r="J123" s="233" t="s">
        <v>2</v>
      </c>
    </row>
    <row r="124" spans="1:10">
      <c r="A124" s="233">
        <f>IF(LEN(B124)=0," ",COUNTA($B$30:B124))</f>
        <v>60</v>
      </c>
      <c r="B124" s="233">
        <v>15</v>
      </c>
      <c r="C124" s="234" t="s">
        <v>124</v>
      </c>
      <c r="D124" s="233" t="s">
        <v>71</v>
      </c>
      <c r="E124" s="245" t="s">
        <v>458</v>
      </c>
      <c r="F124" s="235">
        <f t="shared" si="31"/>
        <v>1</v>
      </c>
      <c r="G124" s="255">
        <f t="shared" ca="1" si="32"/>
        <v>6.7</v>
      </c>
      <c r="H124" s="236">
        <f>$I$79</f>
        <v>1</v>
      </c>
      <c r="I124" s="231">
        <f t="shared" ca="1" si="35"/>
        <v>6.7</v>
      </c>
      <c r="J124" s="233" t="s">
        <v>2</v>
      </c>
    </row>
    <row r="125" spans="1:10">
      <c r="A125" s="229" t="s">
        <v>84</v>
      </c>
      <c r="B125" s="229"/>
      <c r="C125" s="230" t="s">
        <v>448</v>
      </c>
      <c r="D125" s="229"/>
      <c r="E125" s="229"/>
      <c r="F125" s="231"/>
      <c r="G125" s="231"/>
      <c r="H125" s="232"/>
      <c r="I125" s="231">
        <v>1</v>
      </c>
      <c r="J125" s="229" t="s">
        <v>24</v>
      </c>
    </row>
    <row r="126" spans="1:10">
      <c r="A126" s="233">
        <f>IF(LEN(B126)=0," ",COUNTA($B$30:B126))</f>
        <v>61</v>
      </c>
      <c r="B126" s="233">
        <v>1</v>
      </c>
      <c r="C126" s="234" t="s">
        <v>560</v>
      </c>
      <c r="D126" s="233"/>
      <c r="E126" s="229"/>
      <c r="F126" s="235">
        <f t="shared" ref="F126:F140" si="36">VLOOKUP(J126,$R$2:$S$22,2,0)</f>
        <v>1</v>
      </c>
      <c r="G126" s="235"/>
      <c r="H126" s="236">
        <f t="shared" ref="H126:H132" si="37">$I$125</f>
        <v>1</v>
      </c>
      <c r="I126" s="231">
        <f ca="1">SUM(I127:I128)</f>
        <v>5.1385000000000005</v>
      </c>
      <c r="J126" s="233" t="s">
        <v>5</v>
      </c>
    </row>
    <row r="127" spans="1:10" s="246" customFormat="1">
      <c r="A127" s="233"/>
      <c r="B127" s="233"/>
      <c r="C127" s="237" t="s">
        <v>342</v>
      </c>
      <c r="D127" s="233" t="s">
        <v>76</v>
      </c>
      <c r="E127" s="238" t="s">
        <v>451</v>
      </c>
      <c r="F127" s="235">
        <f t="shared" si="36"/>
        <v>1</v>
      </c>
      <c r="G127" s="235">
        <f ca="1">Eval(E127)*F127</f>
        <v>5.3100000000000005</v>
      </c>
      <c r="H127" s="236">
        <f t="shared" si="37"/>
        <v>1</v>
      </c>
      <c r="I127" s="231">
        <f ca="1">G127*H127</f>
        <v>5.3100000000000005</v>
      </c>
      <c r="J127" s="233" t="s">
        <v>5</v>
      </c>
    </row>
    <row r="128" spans="1:10">
      <c r="A128" s="233"/>
      <c r="B128" s="233"/>
      <c r="C128" s="237" t="s">
        <v>35</v>
      </c>
      <c r="D128" s="233" t="s">
        <v>55</v>
      </c>
      <c r="E128" s="239" t="s">
        <v>475</v>
      </c>
      <c r="F128" s="235">
        <f t="shared" si="36"/>
        <v>1</v>
      </c>
      <c r="G128" s="235">
        <f ca="1">Eval(E128)*F128</f>
        <v>-0.17149999999999999</v>
      </c>
      <c r="H128" s="236">
        <f t="shared" si="37"/>
        <v>1</v>
      </c>
      <c r="I128" s="231">
        <f ca="1">G128*H128</f>
        <v>-0.17149999999999999</v>
      </c>
      <c r="J128" s="233" t="s">
        <v>5</v>
      </c>
    </row>
    <row r="129" spans="1:10">
      <c r="A129" s="233">
        <f>IF(LEN(B129)=0," ",COUNTA($B$30:B129))</f>
        <v>62</v>
      </c>
      <c r="B129" s="233">
        <v>2</v>
      </c>
      <c r="C129" s="234" t="s">
        <v>437</v>
      </c>
      <c r="D129" s="233"/>
      <c r="E129" s="234"/>
      <c r="F129" s="235">
        <f t="shared" si="36"/>
        <v>1</v>
      </c>
      <c r="G129" s="235"/>
      <c r="H129" s="236">
        <f t="shared" si="37"/>
        <v>1</v>
      </c>
      <c r="I129" s="231">
        <f ca="1">SUM(I130:I131)</f>
        <v>25.198500000000003</v>
      </c>
      <c r="J129" s="233" t="s">
        <v>5</v>
      </c>
    </row>
    <row r="130" spans="1:10">
      <c r="A130" s="233"/>
      <c r="B130" s="233"/>
      <c r="C130" s="237" t="s">
        <v>344</v>
      </c>
      <c r="D130" s="233" t="s">
        <v>54</v>
      </c>
      <c r="E130" s="233" t="s">
        <v>452</v>
      </c>
      <c r="F130" s="235">
        <f t="shared" si="36"/>
        <v>1</v>
      </c>
      <c r="G130" s="235">
        <f ca="1">Eval(E130)*F130</f>
        <v>25.37</v>
      </c>
      <c r="H130" s="236">
        <f t="shared" si="37"/>
        <v>1</v>
      </c>
      <c r="I130" s="231">
        <f t="shared" ref="I130:I140" ca="1" si="38">G130*H130</f>
        <v>25.37</v>
      </c>
      <c r="J130" s="233" t="s">
        <v>5</v>
      </c>
    </row>
    <row r="131" spans="1:10">
      <c r="A131" s="233"/>
      <c r="B131" s="233"/>
      <c r="C131" s="237" t="s">
        <v>35</v>
      </c>
      <c r="D131" s="233" t="s">
        <v>55</v>
      </c>
      <c r="E131" s="240" t="s">
        <v>475</v>
      </c>
      <c r="F131" s="235">
        <f t="shared" si="36"/>
        <v>1</v>
      </c>
      <c r="G131" s="235">
        <f ca="1">Eval(E131)*F131</f>
        <v>-0.17149999999999999</v>
      </c>
      <c r="H131" s="236">
        <f t="shared" si="37"/>
        <v>1</v>
      </c>
      <c r="I131" s="231">
        <f t="shared" ca="1" si="38"/>
        <v>-0.17149999999999999</v>
      </c>
      <c r="J131" s="233" t="s">
        <v>5</v>
      </c>
    </row>
    <row r="132" spans="1:10">
      <c r="A132" s="233">
        <f>IF(LEN(B132)=0," ",COUNTA($B$30:B132))</f>
        <v>63</v>
      </c>
      <c r="B132" s="233">
        <v>3</v>
      </c>
      <c r="C132" s="234" t="s">
        <v>438</v>
      </c>
      <c r="D132" s="233" t="s">
        <v>56</v>
      </c>
      <c r="E132" s="241" t="s">
        <v>453</v>
      </c>
      <c r="F132" s="235">
        <f t="shared" si="36"/>
        <v>1</v>
      </c>
      <c r="G132" s="235">
        <f ca="1">Eval(E132)*F132</f>
        <v>13.286799999999999</v>
      </c>
      <c r="H132" s="236">
        <f t="shared" si="37"/>
        <v>1</v>
      </c>
      <c r="I132" s="231">
        <f t="shared" ca="1" si="38"/>
        <v>13.286799999999999</v>
      </c>
      <c r="J132" s="233" t="s">
        <v>5</v>
      </c>
    </row>
    <row r="133" spans="1:10">
      <c r="A133" s="233">
        <f>IF(LEN(B133)=0," ",COUNTA($B$30:B133))</f>
        <v>64</v>
      </c>
      <c r="B133" s="233">
        <v>4</v>
      </c>
      <c r="C133" s="234" t="s">
        <v>439</v>
      </c>
      <c r="D133" s="233" t="s">
        <v>57</v>
      </c>
      <c r="E133" s="242" t="s">
        <v>454</v>
      </c>
      <c r="F133" s="235">
        <f t="shared" si="36"/>
        <v>1</v>
      </c>
      <c r="G133" s="235">
        <f ca="1">Eval(E133)*F133</f>
        <v>0.42779999999999996</v>
      </c>
      <c r="H133" s="236">
        <f>$I$125*3</f>
        <v>3</v>
      </c>
      <c r="I133" s="231">
        <f t="shared" ca="1" si="38"/>
        <v>1.2833999999999999</v>
      </c>
      <c r="J133" s="233" t="s">
        <v>5</v>
      </c>
    </row>
    <row r="134" spans="1:10">
      <c r="A134" s="233">
        <f>IF(LEN(B134)=0," ",COUNTA($B$30:B134))</f>
        <v>65</v>
      </c>
      <c r="B134" s="233">
        <v>5</v>
      </c>
      <c r="C134" s="234" t="s">
        <v>39</v>
      </c>
      <c r="D134" s="333" t="s">
        <v>59</v>
      </c>
      <c r="E134" s="334"/>
      <c r="F134" s="235">
        <f t="shared" si="36"/>
        <v>1E-3</v>
      </c>
      <c r="G134" s="235">
        <v>2.7E-2</v>
      </c>
      <c r="H134" s="236">
        <f t="shared" ref="H134:H143" si="39">$I$125</f>
        <v>1</v>
      </c>
      <c r="I134" s="231">
        <f t="shared" si="38"/>
        <v>2.7E-2</v>
      </c>
      <c r="J134" s="233" t="s">
        <v>10</v>
      </c>
    </row>
    <row r="135" spans="1:10">
      <c r="A135" s="233">
        <f>IF(LEN(B135)=0," ",COUNTA($B$30:B135))</f>
        <v>66</v>
      </c>
      <c r="B135" s="233">
        <v>6</v>
      </c>
      <c r="C135" s="234" t="s">
        <v>40</v>
      </c>
      <c r="D135" s="333" t="s">
        <v>59</v>
      </c>
      <c r="E135" s="334"/>
      <c r="F135" s="235">
        <f t="shared" si="36"/>
        <v>1E-3</v>
      </c>
      <c r="G135" s="235">
        <v>0.99299999999999999</v>
      </c>
      <c r="H135" s="236">
        <f t="shared" si="39"/>
        <v>1</v>
      </c>
      <c r="I135" s="231">
        <f t="shared" si="38"/>
        <v>0.99299999999999999</v>
      </c>
      <c r="J135" s="233" t="s">
        <v>10</v>
      </c>
    </row>
    <row r="136" spans="1:10">
      <c r="A136" s="233">
        <f>IF(LEN(B136)=0," ",COUNTA($B$30:B136))</f>
        <v>67</v>
      </c>
      <c r="B136" s="233">
        <v>7</v>
      </c>
      <c r="C136" s="234" t="s">
        <v>41</v>
      </c>
      <c r="D136" s="333" t="s">
        <v>59</v>
      </c>
      <c r="E136" s="334"/>
      <c r="F136" s="235">
        <f t="shared" si="36"/>
        <v>1E-3</v>
      </c>
      <c r="G136" s="255">
        <v>2.1000000000000001E-2</v>
      </c>
      <c r="H136" s="236">
        <f t="shared" si="39"/>
        <v>1</v>
      </c>
      <c r="I136" s="231">
        <f t="shared" si="38"/>
        <v>2.1000000000000001E-2</v>
      </c>
      <c r="J136" s="233" t="s">
        <v>10</v>
      </c>
    </row>
    <row r="137" spans="1:10">
      <c r="A137" s="233">
        <f>IF(LEN(B137)=0," ",COUNTA($B$30:B137))</f>
        <v>68</v>
      </c>
      <c r="B137" s="233">
        <v>8</v>
      </c>
      <c r="C137" s="234" t="s">
        <v>42</v>
      </c>
      <c r="D137" s="333" t="s">
        <v>59</v>
      </c>
      <c r="E137" s="334"/>
      <c r="F137" s="235">
        <f t="shared" si="36"/>
        <v>1E-3</v>
      </c>
      <c r="G137" s="255">
        <v>0.84</v>
      </c>
      <c r="H137" s="236">
        <f t="shared" si="39"/>
        <v>1</v>
      </c>
      <c r="I137" s="231">
        <f t="shared" si="38"/>
        <v>0.84</v>
      </c>
      <c r="J137" s="233" t="s">
        <v>10</v>
      </c>
    </row>
    <row r="138" spans="1:10">
      <c r="A138" s="233">
        <f>IF(LEN(B138)=0," ",COUNTA($B$30:B138))</f>
        <v>69</v>
      </c>
      <c r="B138" s="233">
        <v>9</v>
      </c>
      <c r="C138" s="234" t="s">
        <v>61</v>
      </c>
      <c r="D138" s="333" t="s">
        <v>59</v>
      </c>
      <c r="E138" s="334"/>
      <c r="F138" s="235">
        <f t="shared" si="36"/>
        <v>1E-3</v>
      </c>
      <c r="G138" s="255">
        <v>0.17</v>
      </c>
      <c r="H138" s="236">
        <f>$I$125*3</f>
        <v>3</v>
      </c>
      <c r="I138" s="231">
        <f t="shared" si="38"/>
        <v>0.51</v>
      </c>
      <c r="J138" s="233" t="s">
        <v>10</v>
      </c>
    </row>
    <row r="139" spans="1:10">
      <c r="A139" s="233">
        <f>IF(LEN(B139)=0," ",COUNTA($B$30:B139))</f>
        <v>70</v>
      </c>
      <c r="B139" s="233">
        <v>10</v>
      </c>
      <c r="C139" s="234" t="s">
        <v>43</v>
      </c>
      <c r="D139" s="233" t="s">
        <v>79</v>
      </c>
      <c r="E139" s="242" t="s">
        <v>455</v>
      </c>
      <c r="F139" s="235">
        <f t="shared" si="36"/>
        <v>0.01</v>
      </c>
      <c r="G139" s="255">
        <f ca="1">Eval(E139)*F139</f>
        <v>2.8100000000000007E-2</v>
      </c>
      <c r="H139" s="236">
        <f t="shared" si="39"/>
        <v>1</v>
      </c>
      <c r="I139" s="231">
        <f t="shared" ca="1" si="38"/>
        <v>2.8100000000000007E-2</v>
      </c>
      <c r="J139" s="233" t="s">
        <v>4</v>
      </c>
    </row>
    <row r="140" spans="1:10">
      <c r="A140" s="233">
        <f>IF(LEN(B140)=0," ",COUNTA($B$30:B140))</f>
        <v>71</v>
      </c>
      <c r="B140" s="233">
        <v>11</v>
      </c>
      <c r="C140" s="234" t="s">
        <v>44</v>
      </c>
      <c r="D140" s="233" t="s">
        <v>62</v>
      </c>
      <c r="E140" s="233" t="s">
        <v>456</v>
      </c>
      <c r="F140" s="235">
        <f t="shared" si="36"/>
        <v>0.01</v>
      </c>
      <c r="G140" s="255">
        <f ca="1">Eval(E140)*F140</f>
        <v>0.13950000000000001</v>
      </c>
      <c r="H140" s="236">
        <f t="shared" si="39"/>
        <v>1</v>
      </c>
      <c r="I140" s="231">
        <f t="shared" ca="1" si="38"/>
        <v>0.13950000000000001</v>
      </c>
      <c r="J140" s="233" t="s">
        <v>4</v>
      </c>
    </row>
    <row r="141" spans="1:10">
      <c r="A141" s="233">
        <f>IF(LEN(B141)=0," ",COUNTA($B$30:B141))</f>
        <v>72</v>
      </c>
      <c r="B141" s="233">
        <v>12</v>
      </c>
      <c r="C141" s="234" t="s">
        <v>12</v>
      </c>
      <c r="D141" s="233"/>
      <c r="E141" s="243"/>
      <c r="F141" s="235"/>
      <c r="G141" s="255"/>
      <c r="H141" s="236">
        <f t="shared" si="39"/>
        <v>1</v>
      </c>
      <c r="I141" s="231">
        <f ca="1">SUM(I142:I144)</f>
        <v>0.67324000000000006</v>
      </c>
      <c r="J141" s="233" t="s">
        <v>4</v>
      </c>
    </row>
    <row r="142" spans="1:10">
      <c r="A142" s="233"/>
      <c r="B142" s="233"/>
      <c r="C142" s="237" t="s">
        <v>45</v>
      </c>
      <c r="D142" s="233" t="s">
        <v>62</v>
      </c>
      <c r="E142" s="238" t="s">
        <v>66</v>
      </c>
      <c r="F142" s="235">
        <f t="shared" ref="F142:F147" si="40">VLOOKUP(J142,$R$2:$S$22,2,0)</f>
        <v>0.01</v>
      </c>
      <c r="G142" s="255">
        <f t="shared" ref="G142:G147" ca="1" si="41">Eval(E142)*F142</f>
        <v>0.33158000000000004</v>
      </c>
      <c r="H142" s="236">
        <f t="shared" si="39"/>
        <v>1</v>
      </c>
      <c r="I142" s="231">
        <f t="shared" ref="I142:I147" ca="1" si="42">G142*H142</f>
        <v>0.33158000000000004</v>
      </c>
      <c r="J142" s="233" t="s">
        <v>4</v>
      </c>
    </row>
    <row r="143" spans="1:10">
      <c r="A143" s="233"/>
      <c r="B143" s="233"/>
      <c r="C143" s="237" t="s">
        <v>46</v>
      </c>
      <c r="D143" s="233" t="s">
        <v>62</v>
      </c>
      <c r="E143" s="238" t="s">
        <v>65</v>
      </c>
      <c r="F143" s="235">
        <f t="shared" si="40"/>
        <v>0.01</v>
      </c>
      <c r="G143" s="255">
        <f t="shared" ca="1" si="41"/>
        <v>0.33039999999999997</v>
      </c>
      <c r="H143" s="236">
        <f t="shared" si="39"/>
        <v>1</v>
      </c>
      <c r="I143" s="231">
        <f t="shared" ca="1" si="42"/>
        <v>0.33039999999999997</v>
      </c>
      <c r="J143" s="233" t="s">
        <v>4</v>
      </c>
    </row>
    <row r="144" spans="1:10">
      <c r="A144" s="233"/>
      <c r="B144" s="233"/>
      <c r="C144" s="237" t="s">
        <v>47</v>
      </c>
      <c r="D144" s="233" t="s">
        <v>67</v>
      </c>
      <c r="E144" s="248">
        <v>1.1259999999999999</v>
      </c>
      <c r="F144" s="235">
        <f t="shared" si="40"/>
        <v>0.01</v>
      </c>
      <c r="G144" s="255">
        <f>1.126*F144</f>
        <v>1.1259999999999999E-2</v>
      </c>
      <c r="H144" s="236">
        <f t="shared" ref="H144" si="43">$I$194</f>
        <v>1</v>
      </c>
      <c r="I144" s="231">
        <f t="shared" si="42"/>
        <v>1.1259999999999999E-2</v>
      </c>
      <c r="J144" s="233" t="s">
        <v>4</v>
      </c>
    </row>
    <row r="145" spans="1:10">
      <c r="A145" s="233">
        <f>IF(LEN(B145)=0," ",COUNTA($B$30:B145))</f>
        <v>73</v>
      </c>
      <c r="B145" s="233">
        <v>13</v>
      </c>
      <c r="C145" s="234" t="s">
        <v>48</v>
      </c>
      <c r="D145" s="233" t="s">
        <v>69</v>
      </c>
      <c r="E145" s="242" t="s">
        <v>457</v>
      </c>
      <c r="F145" s="235">
        <f t="shared" si="40"/>
        <v>0.01</v>
      </c>
      <c r="G145" s="255">
        <f t="shared" ca="1" si="41"/>
        <v>3.6170000000000001E-2</v>
      </c>
      <c r="H145" s="236">
        <f>$I$125*3</f>
        <v>3</v>
      </c>
      <c r="I145" s="231">
        <f t="shared" ca="1" si="42"/>
        <v>0.10851</v>
      </c>
      <c r="J145" s="233" t="s">
        <v>4</v>
      </c>
    </row>
    <row r="146" spans="1:10">
      <c r="A146" s="233">
        <f>IF(LEN(B146)=0," ",COUNTA($B$30:B146))</f>
        <v>74</v>
      </c>
      <c r="B146" s="233">
        <v>14</v>
      </c>
      <c r="C146" s="234" t="s">
        <v>440</v>
      </c>
      <c r="D146" s="233" t="s">
        <v>72</v>
      </c>
      <c r="E146" s="233" t="s">
        <v>459</v>
      </c>
      <c r="F146" s="235">
        <f t="shared" si="40"/>
        <v>1</v>
      </c>
      <c r="G146" s="255">
        <f t="shared" ca="1" si="41"/>
        <v>12</v>
      </c>
      <c r="H146" s="236">
        <f>$I$125</f>
        <v>1</v>
      </c>
      <c r="I146" s="231">
        <f t="shared" ca="1" si="42"/>
        <v>12</v>
      </c>
      <c r="J146" s="233" t="s">
        <v>2</v>
      </c>
    </row>
    <row r="147" spans="1:10">
      <c r="A147" s="233">
        <f>IF(LEN(B147)=0," ",COUNTA($B$30:B147))</f>
        <v>75</v>
      </c>
      <c r="B147" s="233">
        <v>15</v>
      </c>
      <c r="C147" s="234" t="s">
        <v>124</v>
      </c>
      <c r="D147" s="233" t="s">
        <v>71</v>
      </c>
      <c r="E147" s="245" t="s">
        <v>458</v>
      </c>
      <c r="F147" s="235">
        <f t="shared" si="40"/>
        <v>1</v>
      </c>
      <c r="G147" s="255">
        <f t="shared" ca="1" si="41"/>
        <v>6.7</v>
      </c>
      <c r="H147" s="236">
        <f>$I$125</f>
        <v>1</v>
      </c>
      <c r="I147" s="231">
        <f t="shared" ca="1" si="42"/>
        <v>6.7</v>
      </c>
      <c r="J147" s="233" t="s">
        <v>2</v>
      </c>
    </row>
    <row r="148" spans="1:10">
      <c r="A148" s="229" t="s">
        <v>86</v>
      </c>
      <c r="B148" s="229"/>
      <c r="C148" s="230" t="s">
        <v>449</v>
      </c>
      <c r="D148" s="229"/>
      <c r="E148" s="229"/>
      <c r="F148" s="231"/>
      <c r="G148" s="231"/>
      <c r="H148" s="232"/>
      <c r="I148" s="231">
        <v>1</v>
      </c>
      <c r="J148" s="229" t="s">
        <v>24</v>
      </c>
    </row>
    <row r="149" spans="1:10">
      <c r="A149" s="233">
        <f>IF(LEN(B149)=0," ",COUNTA($B$30:B149))</f>
        <v>76</v>
      </c>
      <c r="B149" s="233">
        <v>1</v>
      </c>
      <c r="C149" s="234" t="s">
        <v>560</v>
      </c>
      <c r="D149" s="233"/>
      <c r="E149" s="229"/>
      <c r="F149" s="235">
        <f t="shared" ref="F149:F163" si="44">VLOOKUP(J149,$R$2:$S$22,2,0)</f>
        <v>1</v>
      </c>
      <c r="G149" s="235"/>
      <c r="H149" s="236">
        <f t="shared" ref="H149:H155" si="45">$I$148</f>
        <v>1</v>
      </c>
      <c r="I149" s="231">
        <f ca="1">SUM(I150:I151)</f>
        <v>5.1385000000000005</v>
      </c>
      <c r="J149" s="233" t="s">
        <v>5</v>
      </c>
    </row>
    <row r="150" spans="1:10" s="246" customFormat="1">
      <c r="A150" s="233"/>
      <c r="B150" s="233"/>
      <c r="C150" s="237" t="s">
        <v>342</v>
      </c>
      <c r="D150" s="233" t="s">
        <v>76</v>
      </c>
      <c r="E150" s="238" t="s">
        <v>451</v>
      </c>
      <c r="F150" s="235">
        <f t="shared" si="44"/>
        <v>1</v>
      </c>
      <c r="G150" s="235">
        <f ca="1">Eval(E150)*F150</f>
        <v>5.3100000000000005</v>
      </c>
      <c r="H150" s="236">
        <f t="shared" si="45"/>
        <v>1</v>
      </c>
      <c r="I150" s="231">
        <f ca="1">G150*H150</f>
        <v>5.3100000000000005</v>
      </c>
      <c r="J150" s="233" t="s">
        <v>5</v>
      </c>
    </row>
    <row r="151" spans="1:10">
      <c r="A151" s="233"/>
      <c r="B151" s="233"/>
      <c r="C151" s="237" t="s">
        <v>35</v>
      </c>
      <c r="D151" s="233" t="s">
        <v>55</v>
      </c>
      <c r="E151" s="239" t="s">
        <v>475</v>
      </c>
      <c r="F151" s="235">
        <f t="shared" si="44"/>
        <v>1</v>
      </c>
      <c r="G151" s="235">
        <f ca="1">Eval(E151)*F151</f>
        <v>-0.17149999999999999</v>
      </c>
      <c r="H151" s="236">
        <f t="shared" si="45"/>
        <v>1</v>
      </c>
      <c r="I151" s="231">
        <f ca="1">G151*H151</f>
        <v>-0.17149999999999999</v>
      </c>
      <c r="J151" s="233" t="s">
        <v>5</v>
      </c>
    </row>
    <row r="152" spans="1:10">
      <c r="A152" s="233">
        <f>IF(LEN(B152)=0," ",COUNTA($B$30:B152))</f>
        <v>77</v>
      </c>
      <c r="B152" s="233">
        <v>2</v>
      </c>
      <c r="C152" s="234" t="s">
        <v>437</v>
      </c>
      <c r="D152" s="233"/>
      <c r="E152" s="234"/>
      <c r="F152" s="235">
        <f t="shared" si="44"/>
        <v>1</v>
      </c>
      <c r="G152" s="235"/>
      <c r="H152" s="236">
        <f t="shared" si="45"/>
        <v>1</v>
      </c>
      <c r="I152" s="231">
        <f ca="1">SUM(I153:I154)</f>
        <v>25.198500000000003</v>
      </c>
      <c r="J152" s="233" t="s">
        <v>5</v>
      </c>
    </row>
    <row r="153" spans="1:10">
      <c r="A153" s="233"/>
      <c r="B153" s="233"/>
      <c r="C153" s="237" t="s">
        <v>344</v>
      </c>
      <c r="D153" s="233" t="s">
        <v>54</v>
      </c>
      <c r="E153" s="233" t="s">
        <v>452</v>
      </c>
      <c r="F153" s="235">
        <f t="shared" si="44"/>
        <v>1</v>
      </c>
      <c r="G153" s="235">
        <f ca="1">Eval(E153)*F153</f>
        <v>25.37</v>
      </c>
      <c r="H153" s="236">
        <f t="shared" si="45"/>
        <v>1</v>
      </c>
      <c r="I153" s="231">
        <f t="shared" ref="I153:I163" ca="1" si="46">G153*H153</f>
        <v>25.37</v>
      </c>
      <c r="J153" s="233" t="s">
        <v>5</v>
      </c>
    </row>
    <row r="154" spans="1:10">
      <c r="A154" s="233"/>
      <c r="B154" s="233"/>
      <c r="C154" s="237" t="s">
        <v>35</v>
      </c>
      <c r="D154" s="233" t="s">
        <v>55</v>
      </c>
      <c r="E154" s="240" t="s">
        <v>475</v>
      </c>
      <c r="F154" s="235">
        <f t="shared" si="44"/>
        <v>1</v>
      </c>
      <c r="G154" s="235">
        <f ca="1">Eval(E154)*F154</f>
        <v>-0.17149999999999999</v>
      </c>
      <c r="H154" s="236">
        <f t="shared" si="45"/>
        <v>1</v>
      </c>
      <c r="I154" s="231">
        <f t="shared" ca="1" si="46"/>
        <v>-0.17149999999999999</v>
      </c>
      <c r="J154" s="233" t="s">
        <v>5</v>
      </c>
    </row>
    <row r="155" spans="1:10">
      <c r="A155" s="233">
        <f>IF(LEN(B155)=0," ",COUNTA($B$30:B155))</f>
        <v>78</v>
      </c>
      <c r="B155" s="233">
        <v>3</v>
      </c>
      <c r="C155" s="234" t="s">
        <v>438</v>
      </c>
      <c r="D155" s="233" t="s">
        <v>56</v>
      </c>
      <c r="E155" s="241" t="s">
        <v>453</v>
      </c>
      <c r="F155" s="235">
        <f t="shared" si="44"/>
        <v>1</v>
      </c>
      <c r="G155" s="235">
        <f ca="1">Eval(E155)*F155</f>
        <v>13.286799999999999</v>
      </c>
      <c r="H155" s="236">
        <f t="shared" si="45"/>
        <v>1</v>
      </c>
      <c r="I155" s="231">
        <f t="shared" ca="1" si="46"/>
        <v>13.286799999999999</v>
      </c>
      <c r="J155" s="233" t="s">
        <v>5</v>
      </c>
    </row>
    <row r="156" spans="1:10">
      <c r="A156" s="233">
        <f>IF(LEN(B156)=0," ",COUNTA($B$30:B156))</f>
        <v>79</v>
      </c>
      <c r="B156" s="233">
        <v>4</v>
      </c>
      <c r="C156" s="234" t="s">
        <v>38</v>
      </c>
      <c r="D156" s="233" t="s">
        <v>57</v>
      </c>
      <c r="E156" s="242" t="s">
        <v>454</v>
      </c>
      <c r="F156" s="235">
        <f t="shared" si="44"/>
        <v>1</v>
      </c>
      <c r="G156" s="235">
        <f ca="1">Eval(E156)*F156</f>
        <v>0.42779999999999996</v>
      </c>
      <c r="H156" s="236">
        <f>$I$148*3</f>
        <v>3</v>
      </c>
      <c r="I156" s="231">
        <f t="shared" ca="1" si="46"/>
        <v>1.2833999999999999</v>
      </c>
      <c r="J156" s="233" t="s">
        <v>5</v>
      </c>
    </row>
    <row r="157" spans="1:10">
      <c r="A157" s="233">
        <f>IF(LEN(B157)=0," ",COUNTA($B$30:B157))</f>
        <v>80</v>
      </c>
      <c r="B157" s="233">
        <v>5</v>
      </c>
      <c r="C157" s="234" t="s">
        <v>39</v>
      </c>
      <c r="D157" s="333" t="s">
        <v>59</v>
      </c>
      <c r="E157" s="334"/>
      <c r="F157" s="235">
        <f t="shared" si="44"/>
        <v>1E-3</v>
      </c>
      <c r="G157" s="235">
        <v>2.7E-2</v>
      </c>
      <c r="H157" s="236">
        <f t="shared" ref="H157:H166" si="47">$I$148</f>
        <v>1</v>
      </c>
      <c r="I157" s="231">
        <f t="shared" si="46"/>
        <v>2.7E-2</v>
      </c>
      <c r="J157" s="233" t="s">
        <v>10</v>
      </c>
    </row>
    <row r="158" spans="1:10">
      <c r="A158" s="233">
        <f>IF(LEN(B158)=0," ",COUNTA($B$30:B158))</f>
        <v>81</v>
      </c>
      <c r="B158" s="233">
        <v>6</v>
      </c>
      <c r="C158" s="234" t="s">
        <v>40</v>
      </c>
      <c r="D158" s="333" t="s">
        <v>59</v>
      </c>
      <c r="E158" s="334"/>
      <c r="F158" s="235">
        <f t="shared" si="44"/>
        <v>1E-3</v>
      </c>
      <c r="G158" s="235">
        <v>0.99299999999999999</v>
      </c>
      <c r="H158" s="236">
        <f t="shared" si="47"/>
        <v>1</v>
      </c>
      <c r="I158" s="231">
        <f t="shared" si="46"/>
        <v>0.99299999999999999</v>
      </c>
      <c r="J158" s="233" t="s">
        <v>10</v>
      </c>
    </row>
    <row r="159" spans="1:10">
      <c r="A159" s="233">
        <f>IF(LEN(B159)=0," ",COUNTA($B$30:B159))</f>
        <v>82</v>
      </c>
      <c r="B159" s="233">
        <v>7</v>
      </c>
      <c r="C159" s="234" t="s">
        <v>41</v>
      </c>
      <c r="D159" s="333" t="s">
        <v>59</v>
      </c>
      <c r="E159" s="334"/>
      <c r="F159" s="235">
        <f t="shared" si="44"/>
        <v>1E-3</v>
      </c>
      <c r="G159" s="255">
        <v>2.1000000000000001E-2</v>
      </c>
      <c r="H159" s="236">
        <f t="shared" si="47"/>
        <v>1</v>
      </c>
      <c r="I159" s="231">
        <f t="shared" si="46"/>
        <v>2.1000000000000001E-2</v>
      </c>
      <c r="J159" s="233" t="s">
        <v>10</v>
      </c>
    </row>
    <row r="160" spans="1:10">
      <c r="A160" s="233">
        <f>IF(LEN(B160)=0," ",COUNTA($B$30:B160))</f>
        <v>83</v>
      </c>
      <c r="B160" s="233">
        <v>8</v>
      </c>
      <c r="C160" s="234" t="s">
        <v>42</v>
      </c>
      <c r="D160" s="333" t="s">
        <v>59</v>
      </c>
      <c r="E160" s="334"/>
      <c r="F160" s="235">
        <f t="shared" si="44"/>
        <v>1E-3</v>
      </c>
      <c r="G160" s="255">
        <v>0.84</v>
      </c>
      <c r="H160" s="236">
        <f t="shared" si="47"/>
        <v>1</v>
      </c>
      <c r="I160" s="231">
        <f t="shared" si="46"/>
        <v>0.84</v>
      </c>
      <c r="J160" s="233" t="s">
        <v>10</v>
      </c>
    </row>
    <row r="161" spans="1:10">
      <c r="A161" s="233">
        <f>IF(LEN(B161)=0," ",COUNTA($B$30:B161))</f>
        <v>84</v>
      </c>
      <c r="B161" s="233">
        <v>9</v>
      </c>
      <c r="C161" s="234" t="s">
        <v>61</v>
      </c>
      <c r="D161" s="333" t="s">
        <v>59</v>
      </c>
      <c r="E161" s="334"/>
      <c r="F161" s="235">
        <f t="shared" si="44"/>
        <v>1E-3</v>
      </c>
      <c r="G161" s="255">
        <v>0.17</v>
      </c>
      <c r="H161" s="236">
        <f>$I$148*3</f>
        <v>3</v>
      </c>
      <c r="I161" s="231">
        <f t="shared" si="46"/>
        <v>0.51</v>
      </c>
      <c r="J161" s="233" t="s">
        <v>10</v>
      </c>
    </row>
    <row r="162" spans="1:10">
      <c r="A162" s="233">
        <f>IF(LEN(B162)=0," ",COUNTA($B$30:B162))</f>
        <v>85</v>
      </c>
      <c r="B162" s="233">
        <v>10</v>
      </c>
      <c r="C162" s="234" t="s">
        <v>43</v>
      </c>
      <c r="D162" s="233" t="s">
        <v>79</v>
      </c>
      <c r="E162" s="242" t="s">
        <v>455</v>
      </c>
      <c r="F162" s="235">
        <f t="shared" si="44"/>
        <v>0.01</v>
      </c>
      <c r="G162" s="255">
        <f ca="1">Eval(E162)*F162</f>
        <v>2.8100000000000007E-2</v>
      </c>
      <c r="H162" s="236">
        <f t="shared" si="47"/>
        <v>1</v>
      </c>
      <c r="I162" s="231">
        <f t="shared" ca="1" si="46"/>
        <v>2.8100000000000007E-2</v>
      </c>
      <c r="J162" s="233" t="s">
        <v>4</v>
      </c>
    </row>
    <row r="163" spans="1:10">
      <c r="A163" s="233">
        <f>IF(LEN(B163)=0," ",COUNTA($B$30:B163))</f>
        <v>86</v>
      </c>
      <c r="B163" s="233">
        <v>11</v>
      </c>
      <c r="C163" s="234" t="s">
        <v>44</v>
      </c>
      <c r="D163" s="233" t="s">
        <v>62</v>
      </c>
      <c r="E163" s="233" t="s">
        <v>456</v>
      </c>
      <c r="F163" s="235">
        <f t="shared" si="44"/>
        <v>0.01</v>
      </c>
      <c r="G163" s="255">
        <f ca="1">Eval(E163)*F163</f>
        <v>0.13950000000000001</v>
      </c>
      <c r="H163" s="236">
        <f t="shared" si="47"/>
        <v>1</v>
      </c>
      <c r="I163" s="231">
        <f t="shared" ca="1" si="46"/>
        <v>0.13950000000000001</v>
      </c>
      <c r="J163" s="233" t="s">
        <v>4</v>
      </c>
    </row>
    <row r="164" spans="1:10">
      <c r="A164" s="233">
        <f>IF(LEN(B164)=0," ",COUNTA($B$30:B164))</f>
        <v>87</v>
      </c>
      <c r="B164" s="233">
        <v>12</v>
      </c>
      <c r="C164" s="234" t="s">
        <v>12</v>
      </c>
      <c r="D164" s="233"/>
      <c r="E164" s="243"/>
      <c r="F164" s="235"/>
      <c r="G164" s="255"/>
      <c r="H164" s="236">
        <f t="shared" si="47"/>
        <v>1</v>
      </c>
      <c r="I164" s="231">
        <f ca="1">SUM(I165:I167)</f>
        <v>0.67324000000000006</v>
      </c>
      <c r="J164" s="233" t="s">
        <v>4</v>
      </c>
    </row>
    <row r="165" spans="1:10">
      <c r="A165" s="233"/>
      <c r="B165" s="233"/>
      <c r="C165" s="237" t="s">
        <v>45</v>
      </c>
      <c r="D165" s="233" t="s">
        <v>62</v>
      </c>
      <c r="E165" s="238" t="s">
        <v>66</v>
      </c>
      <c r="F165" s="235">
        <f t="shared" ref="F165:F170" si="48">VLOOKUP(J165,$R$2:$S$22,2,0)</f>
        <v>0.01</v>
      </c>
      <c r="G165" s="255">
        <f t="shared" ref="G165:G170" ca="1" si="49">Eval(E165)*F165</f>
        <v>0.33158000000000004</v>
      </c>
      <c r="H165" s="236">
        <f t="shared" si="47"/>
        <v>1</v>
      </c>
      <c r="I165" s="231">
        <f t="shared" ref="I165:I170" ca="1" si="50">G165*H165</f>
        <v>0.33158000000000004</v>
      </c>
      <c r="J165" s="233" t="s">
        <v>4</v>
      </c>
    </row>
    <row r="166" spans="1:10">
      <c r="A166" s="233"/>
      <c r="B166" s="233"/>
      <c r="C166" s="237" t="s">
        <v>46</v>
      </c>
      <c r="D166" s="233" t="s">
        <v>62</v>
      </c>
      <c r="E166" s="238" t="s">
        <v>65</v>
      </c>
      <c r="F166" s="235">
        <f t="shared" si="48"/>
        <v>0.01</v>
      </c>
      <c r="G166" s="255">
        <f t="shared" ca="1" si="49"/>
        <v>0.33039999999999997</v>
      </c>
      <c r="H166" s="236">
        <f t="shared" si="47"/>
        <v>1</v>
      </c>
      <c r="I166" s="231">
        <f t="shared" ca="1" si="50"/>
        <v>0.33039999999999997</v>
      </c>
      <c r="J166" s="233" t="s">
        <v>4</v>
      </c>
    </row>
    <row r="167" spans="1:10">
      <c r="A167" s="233"/>
      <c r="B167" s="233"/>
      <c r="C167" s="237" t="s">
        <v>47</v>
      </c>
      <c r="D167" s="233" t="s">
        <v>67</v>
      </c>
      <c r="E167" s="248">
        <v>1.1259999999999999</v>
      </c>
      <c r="F167" s="235">
        <f t="shared" si="48"/>
        <v>0.01</v>
      </c>
      <c r="G167" s="255">
        <f>1.126*F167</f>
        <v>1.1259999999999999E-2</v>
      </c>
      <c r="H167" s="236">
        <f t="shared" ref="H167" si="51">$I$194</f>
        <v>1</v>
      </c>
      <c r="I167" s="231">
        <f t="shared" si="50"/>
        <v>1.1259999999999999E-2</v>
      </c>
      <c r="J167" s="233" t="s">
        <v>4</v>
      </c>
    </row>
    <row r="168" spans="1:10">
      <c r="A168" s="233">
        <f>IF(LEN(B168)=0," ",COUNTA($B$30:B168))</f>
        <v>88</v>
      </c>
      <c r="B168" s="233">
        <v>13</v>
      </c>
      <c r="C168" s="234" t="s">
        <v>48</v>
      </c>
      <c r="D168" s="233" t="s">
        <v>69</v>
      </c>
      <c r="E168" s="242" t="s">
        <v>457</v>
      </c>
      <c r="F168" s="235">
        <f t="shared" si="48"/>
        <v>0.01</v>
      </c>
      <c r="G168" s="255">
        <f t="shared" ca="1" si="49"/>
        <v>3.6170000000000001E-2</v>
      </c>
      <c r="H168" s="236">
        <f>$I$148*3</f>
        <v>3</v>
      </c>
      <c r="I168" s="231">
        <f t="shared" ca="1" si="50"/>
        <v>0.10851</v>
      </c>
      <c r="J168" s="233" t="s">
        <v>4</v>
      </c>
    </row>
    <row r="169" spans="1:10">
      <c r="A169" s="233">
        <f>IF(LEN(B169)=0," ",COUNTA($B$30:B169))</f>
        <v>89</v>
      </c>
      <c r="B169" s="233">
        <v>14</v>
      </c>
      <c r="C169" s="234" t="s">
        <v>440</v>
      </c>
      <c r="D169" s="233" t="s">
        <v>72</v>
      </c>
      <c r="E169" s="233" t="s">
        <v>459</v>
      </c>
      <c r="F169" s="235">
        <f t="shared" si="48"/>
        <v>1</v>
      </c>
      <c r="G169" s="255">
        <f t="shared" ca="1" si="49"/>
        <v>12</v>
      </c>
      <c r="H169" s="236">
        <f>$I$148</f>
        <v>1</v>
      </c>
      <c r="I169" s="231">
        <f t="shared" ca="1" si="50"/>
        <v>12</v>
      </c>
      <c r="J169" s="233" t="s">
        <v>2</v>
      </c>
    </row>
    <row r="170" spans="1:10">
      <c r="A170" s="233">
        <f>IF(LEN(B170)=0," ",COUNTA($B$30:B170))</f>
        <v>90</v>
      </c>
      <c r="B170" s="233">
        <v>15</v>
      </c>
      <c r="C170" s="234" t="s">
        <v>124</v>
      </c>
      <c r="D170" s="233" t="s">
        <v>71</v>
      </c>
      <c r="E170" s="245" t="s">
        <v>458</v>
      </c>
      <c r="F170" s="235">
        <f t="shared" si="48"/>
        <v>1</v>
      </c>
      <c r="G170" s="255">
        <f t="shared" ca="1" si="49"/>
        <v>6.7</v>
      </c>
      <c r="H170" s="236">
        <f>$I$148</f>
        <v>1</v>
      </c>
      <c r="I170" s="231">
        <f t="shared" ca="1" si="50"/>
        <v>6.7</v>
      </c>
      <c r="J170" s="233" t="s">
        <v>2</v>
      </c>
    </row>
    <row r="171" spans="1:10">
      <c r="A171" s="229" t="s">
        <v>95</v>
      </c>
      <c r="B171" s="229"/>
      <c r="C171" s="230" t="s">
        <v>450</v>
      </c>
      <c r="D171" s="229"/>
      <c r="E171" s="229"/>
      <c r="F171" s="231"/>
      <c r="G171" s="231"/>
      <c r="H171" s="232"/>
      <c r="I171" s="231">
        <v>1</v>
      </c>
      <c r="J171" s="229" t="s">
        <v>24</v>
      </c>
    </row>
    <row r="172" spans="1:10">
      <c r="A172" s="233">
        <f>IF(LEN(B172)=0," ",COUNTA($B$30:B172))</f>
        <v>91</v>
      </c>
      <c r="B172" s="233">
        <v>1</v>
      </c>
      <c r="C172" s="234" t="s">
        <v>560</v>
      </c>
      <c r="D172" s="233"/>
      <c r="E172" s="229"/>
      <c r="F172" s="235">
        <f t="shared" ref="F172:F186" si="52">VLOOKUP(J172,$R$2:$S$22,2,0)</f>
        <v>1</v>
      </c>
      <c r="G172" s="235"/>
      <c r="H172" s="236">
        <f t="shared" ref="H172:H178" si="53">$I$171</f>
        <v>1</v>
      </c>
      <c r="I172" s="231">
        <f ca="1">SUM(I173:I174)</f>
        <v>5.1385000000000005</v>
      </c>
      <c r="J172" s="233" t="s">
        <v>5</v>
      </c>
    </row>
    <row r="173" spans="1:10" s="246" customFormat="1">
      <c r="A173" s="233"/>
      <c r="B173" s="233"/>
      <c r="C173" s="237" t="s">
        <v>342</v>
      </c>
      <c r="D173" s="233" t="s">
        <v>76</v>
      </c>
      <c r="E173" s="238" t="s">
        <v>451</v>
      </c>
      <c r="F173" s="235">
        <f t="shared" si="52"/>
        <v>1</v>
      </c>
      <c r="G173" s="235">
        <f ca="1">Eval(E173)*F173</f>
        <v>5.3100000000000005</v>
      </c>
      <c r="H173" s="236">
        <f t="shared" si="53"/>
        <v>1</v>
      </c>
      <c r="I173" s="231">
        <f ca="1">G173*H173</f>
        <v>5.3100000000000005</v>
      </c>
      <c r="J173" s="233" t="s">
        <v>5</v>
      </c>
    </row>
    <row r="174" spans="1:10">
      <c r="A174" s="233"/>
      <c r="B174" s="233"/>
      <c r="C174" s="237" t="s">
        <v>35</v>
      </c>
      <c r="D174" s="233" t="s">
        <v>55</v>
      </c>
      <c r="E174" s="239" t="s">
        <v>475</v>
      </c>
      <c r="F174" s="235">
        <f t="shared" si="52"/>
        <v>1</v>
      </c>
      <c r="G174" s="235">
        <f ca="1">Eval(E174)*F174</f>
        <v>-0.17149999999999999</v>
      </c>
      <c r="H174" s="236">
        <f t="shared" si="53"/>
        <v>1</v>
      </c>
      <c r="I174" s="231">
        <f ca="1">G174*H174</f>
        <v>-0.17149999999999999</v>
      </c>
      <c r="J174" s="233" t="s">
        <v>5</v>
      </c>
    </row>
    <row r="175" spans="1:10">
      <c r="A175" s="233">
        <f>IF(LEN(B175)=0," ",COUNTA($B$30:B175))</f>
        <v>92</v>
      </c>
      <c r="B175" s="233">
        <v>2</v>
      </c>
      <c r="C175" s="234" t="s">
        <v>437</v>
      </c>
      <c r="D175" s="233"/>
      <c r="E175" s="234"/>
      <c r="F175" s="235">
        <f t="shared" si="52"/>
        <v>1</v>
      </c>
      <c r="G175" s="235"/>
      <c r="H175" s="236">
        <f t="shared" si="53"/>
        <v>1</v>
      </c>
      <c r="I175" s="231">
        <f ca="1">SUM(I176:I177)</f>
        <v>25.198500000000003</v>
      </c>
      <c r="J175" s="233" t="s">
        <v>5</v>
      </c>
    </row>
    <row r="176" spans="1:10">
      <c r="A176" s="233"/>
      <c r="B176" s="233"/>
      <c r="C176" s="237" t="s">
        <v>344</v>
      </c>
      <c r="D176" s="233" t="s">
        <v>54</v>
      </c>
      <c r="E176" s="233" t="s">
        <v>452</v>
      </c>
      <c r="F176" s="235">
        <f t="shared" si="52"/>
        <v>1</v>
      </c>
      <c r="G176" s="235">
        <f ca="1">Eval(E176)*F176</f>
        <v>25.37</v>
      </c>
      <c r="H176" s="236">
        <f t="shared" si="53"/>
        <v>1</v>
      </c>
      <c r="I176" s="231">
        <f t="shared" ref="I176:I186" ca="1" si="54">G176*H176</f>
        <v>25.37</v>
      </c>
      <c r="J176" s="233" t="s">
        <v>5</v>
      </c>
    </row>
    <row r="177" spans="1:10">
      <c r="A177" s="233"/>
      <c r="B177" s="233"/>
      <c r="C177" s="237" t="s">
        <v>35</v>
      </c>
      <c r="D177" s="233" t="s">
        <v>55</v>
      </c>
      <c r="E177" s="239" t="s">
        <v>475</v>
      </c>
      <c r="F177" s="235">
        <f t="shared" si="52"/>
        <v>1</v>
      </c>
      <c r="G177" s="235">
        <f ca="1">Eval(E177)*F177</f>
        <v>-0.17149999999999999</v>
      </c>
      <c r="H177" s="236">
        <f t="shared" si="53"/>
        <v>1</v>
      </c>
      <c r="I177" s="231">
        <f t="shared" ca="1" si="54"/>
        <v>-0.17149999999999999</v>
      </c>
      <c r="J177" s="233" t="s">
        <v>5</v>
      </c>
    </row>
    <row r="178" spans="1:10">
      <c r="A178" s="233">
        <f>IF(LEN(B178)=0," ",COUNTA($B$30:B178))</f>
        <v>93</v>
      </c>
      <c r="B178" s="233">
        <v>3</v>
      </c>
      <c r="C178" s="234" t="s">
        <v>438</v>
      </c>
      <c r="D178" s="233" t="s">
        <v>56</v>
      </c>
      <c r="E178" s="241" t="s">
        <v>453</v>
      </c>
      <c r="F178" s="235">
        <f t="shared" si="52"/>
        <v>1</v>
      </c>
      <c r="G178" s="235">
        <f ca="1">Eval(E178)*F178</f>
        <v>13.286799999999999</v>
      </c>
      <c r="H178" s="236">
        <f t="shared" si="53"/>
        <v>1</v>
      </c>
      <c r="I178" s="231">
        <f t="shared" ca="1" si="54"/>
        <v>13.286799999999999</v>
      </c>
      <c r="J178" s="233" t="s">
        <v>5</v>
      </c>
    </row>
    <row r="179" spans="1:10">
      <c r="A179" s="233">
        <f>IF(LEN(B179)=0," ",COUNTA($B$30:B179))</f>
        <v>94</v>
      </c>
      <c r="B179" s="233">
        <v>4</v>
      </c>
      <c r="C179" s="234" t="s">
        <v>439</v>
      </c>
      <c r="D179" s="233" t="s">
        <v>57</v>
      </c>
      <c r="E179" s="242" t="s">
        <v>454</v>
      </c>
      <c r="F179" s="235">
        <f t="shared" si="52"/>
        <v>1</v>
      </c>
      <c r="G179" s="235">
        <f ca="1">Eval(E179)*F179</f>
        <v>0.42779999999999996</v>
      </c>
      <c r="H179" s="236">
        <f>$I$171*3</f>
        <v>3</v>
      </c>
      <c r="I179" s="231">
        <f t="shared" ca="1" si="54"/>
        <v>1.2833999999999999</v>
      </c>
      <c r="J179" s="233" t="s">
        <v>5</v>
      </c>
    </row>
    <row r="180" spans="1:10">
      <c r="A180" s="233">
        <f>IF(LEN(B180)=0," ",COUNTA($B$30:B180))</f>
        <v>95</v>
      </c>
      <c r="B180" s="233">
        <v>5</v>
      </c>
      <c r="C180" s="234" t="s">
        <v>39</v>
      </c>
      <c r="D180" s="333" t="s">
        <v>59</v>
      </c>
      <c r="E180" s="334"/>
      <c r="F180" s="235">
        <f t="shared" si="52"/>
        <v>1E-3</v>
      </c>
      <c r="G180" s="235">
        <v>2.7E-2</v>
      </c>
      <c r="H180" s="236">
        <f t="shared" ref="H180:H189" si="55">$I$171</f>
        <v>1</v>
      </c>
      <c r="I180" s="231">
        <f t="shared" si="54"/>
        <v>2.7E-2</v>
      </c>
      <c r="J180" s="233" t="s">
        <v>10</v>
      </c>
    </row>
    <row r="181" spans="1:10">
      <c r="A181" s="233">
        <f>IF(LEN(B181)=0," ",COUNTA($B$30:B181))</f>
        <v>96</v>
      </c>
      <c r="B181" s="233">
        <v>6</v>
      </c>
      <c r="C181" s="234" t="s">
        <v>40</v>
      </c>
      <c r="D181" s="333" t="s">
        <v>59</v>
      </c>
      <c r="E181" s="334"/>
      <c r="F181" s="235">
        <f t="shared" si="52"/>
        <v>1E-3</v>
      </c>
      <c r="G181" s="235">
        <v>0.99299999999999999</v>
      </c>
      <c r="H181" s="236">
        <f t="shared" si="55"/>
        <v>1</v>
      </c>
      <c r="I181" s="231">
        <f t="shared" si="54"/>
        <v>0.99299999999999999</v>
      </c>
      <c r="J181" s="233" t="s">
        <v>10</v>
      </c>
    </row>
    <row r="182" spans="1:10">
      <c r="A182" s="233">
        <f>IF(LEN(B182)=0," ",COUNTA($B$30:B182))</f>
        <v>97</v>
      </c>
      <c r="B182" s="233">
        <v>7</v>
      </c>
      <c r="C182" s="234" t="s">
        <v>41</v>
      </c>
      <c r="D182" s="333" t="s">
        <v>59</v>
      </c>
      <c r="E182" s="334"/>
      <c r="F182" s="235">
        <f t="shared" si="52"/>
        <v>1E-3</v>
      </c>
      <c r="G182" s="255">
        <v>2.1000000000000001E-2</v>
      </c>
      <c r="H182" s="236">
        <f t="shared" si="55"/>
        <v>1</v>
      </c>
      <c r="I182" s="231">
        <f t="shared" si="54"/>
        <v>2.1000000000000001E-2</v>
      </c>
      <c r="J182" s="233" t="s">
        <v>10</v>
      </c>
    </row>
    <row r="183" spans="1:10">
      <c r="A183" s="233">
        <f>IF(LEN(B183)=0," ",COUNTA($B$30:B183))</f>
        <v>98</v>
      </c>
      <c r="B183" s="233">
        <v>8</v>
      </c>
      <c r="C183" s="234" t="s">
        <v>42</v>
      </c>
      <c r="D183" s="333" t="s">
        <v>59</v>
      </c>
      <c r="E183" s="334"/>
      <c r="F183" s="235">
        <f t="shared" si="52"/>
        <v>1E-3</v>
      </c>
      <c r="G183" s="255">
        <v>0.84</v>
      </c>
      <c r="H183" s="236">
        <f t="shared" si="55"/>
        <v>1</v>
      </c>
      <c r="I183" s="231">
        <f t="shared" si="54"/>
        <v>0.84</v>
      </c>
      <c r="J183" s="233" t="s">
        <v>10</v>
      </c>
    </row>
    <row r="184" spans="1:10">
      <c r="A184" s="233">
        <f>IF(LEN(B184)=0," ",COUNTA($B$30:B184))</f>
        <v>99</v>
      </c>
      <c r="B184" s="233">
        <v>9</v>
      </c>
      <c r="C184" s="234" t="s">
        <v>61</v>
      </c>
      <c r="D184" s="333" t="s">
        <v>59</v>
      </c>
      <c r="E184" s="334"/>
      <c r="F184" s="235">
        <f t="shared" si="52"/>
        <v>1E-3</v>
      </c>
      <c r="G184" s="255">
        <v>0.17</v>
      </c>
      <c r="H184" s="236">
        <f>$I$171*3</f>
        <v>3</v>
      </c>
      <c r="I184" s="231">
        <f t="shared" si="54"/>
        <v>0.51</v>
      </c>
      <c r="J184" s="233" t="s">
        <v>10</v>
      </c>
    </row>
    <row r="185" spans="1:10">
      <c r="A185" s="233">
        <f>IF(LEN(B185)=0," ",COUNTA($B$30:B185))</f>
        <v>100</v>
      </c>
      <c r="B185" s="233">
        <v>10</v>
      </c>
      <c r="C185" s="234" t="s">
        <v>43</v>
      </c>
      <c r="D185" s="233" t="s">
        <v>79</v>
      </c>
      <c r="E185" s="242" t="s">
        <v>455</v>
      </c>
      <c r="F185" s="235">
        <f t="shared" si="52"/>
        <v>0.01</v>
      </c>
      <c r="G185" s="255">
        <f ca="1">Eval(E185)*F185</f>
        <v>2.8100000000000007E-2</v>
      </c>
      <c r="H185" s="236">
        <f t="shared" si="55"/>
        <v>1</v>
      </c>
      <c r="I185" s="231">
        <f t="shared" ca="1" si="54"/>
        <v>2.8100000000000007E-2</v>
      </c>
      <c r="J185" s="233" t="s">
        <v>4</v>
      </c>
    </row>
    <row r="186" spans="1:10">
      <c r="A186" s="233">
        <f>IF(LEN(B186)=0," ",COUNTA($B$30:B186))</f>
        <v>101</v>
      </c>
      <c r="B186" s="233">
        <v>11</v>
      </c>
      <c r="C186" s="234" t="s">
        <v>44</v>
      </c>
      <c r="D186" s="233" t="s">
        <v>62</v>
      </c>
      <c r="E186" s="233" t="s">
        <v>456</v>
      </c>
      <c r="F186" s="235">
        <f t="shared" si="52"/>
        <v>0.01</v>
      </c>
      <c r="G186" s="255">
        <f ca="1">Eval(E186)*F186</f>
        <v>0.13950000000000001</v>
      </c>
      <c r="H186" s="236">
        <f t="shared" si="55"/>
        <v>1</v>
      </c>
      <c r="I186" s="231">
        <f t="shared" ca="1" si="54"/>
        <v>0.13950000000000001</v>
      </c>
      <c r="J186" s="233" t="s">
        <v>4</v>
      </c>
    </row>
    <row r="187" spans="1:10">
      <c r="A187" s="233">
        <f>IF(LEN(B187)=0," ",COUNTA($B$30:B187))</f>
        <v>102</v>
      </c>
      <c r="B187" s="233">
        <v>12</v>
      </c>
      <c r="C187" s="234" t="s">
        <v>12</v>
      </c>
      <c r="D187" s="233"/>
      <c r="E187" s="243"/>
      <c r="F187" s="235"/>
      <c r="G187" s="255"/>
      <c r="H187" s="236">
        <f t="shared" si="55"/>
        <v>1</v>
      </c>
      <c r="I187" s="231">
        <f ca="1">SUM(I188:I190)</f>
        <v>0.67324000000000006</v>
      </c>
      <c r="J187" s="233" t="s">
        <v>4</v>
      </c>
    </row>
    <row r="188" spans="1:10">
      <c r="A188" s="233"/>
      <c r="B188" s="233"/>
      <c r="C188" s="237" t="s">
        <v>45</v>
      </c>
      <c r="D188" s="233" t="s">
        <v>62</v>
      </c>
      <c r="E188" s="238" t="s">
        <v>66</v>
      </c>
      <c r="F188" s="235">
        <f t="shared" ref="F188:F193" si="56">VLOOKUP(J188,$R$2:$S$22,2,0)</f>
        <v>0.01</v>
      </c>
      <c r="G188" s="255">
        <f t="shared" ref="G188:G193" ca="1" si="57">Eval(E188)*F188</f>
        <v>0.33158000000000004</v>
      </c>
      <c r="H188" s="236">
        <f t="shared" si="55"/>
        <v>1</v>
      </c>
      <c r="I188" s="231">
        <f t="shared" ref="I188:I193" ca="1" si="58">G188*H188</f>
        <v>0.33158000000000004</v>
      </c>
      <c r="J188" s="233" t="s">
        <v>4</v>
      </c>
    </row>
    <row r="189" spans="1:10">
      <c r="A189" s="233"/>
      <c r="B189" s="233"/>
      <c r="C189" s="237" t="s">
        <v>46</v>
      </c>
      <c r="D189" s="233" t="s">
        <v>62</v>
      </c>
      <c r="E189" s="238" t="s">
        <v>65</v>
      </c>
      <c r="F189" s="235">
        <f t="shared" si="56"/>
        <v>0.01</v>
      </c>
      <c r="G189" s="255">
        <f t="shared" ca="1" si="57"/>
        <v>0.33039999999999997</v>
      </c>
      <c r="H189" s="236">
        <f t="shared" si="55"/>
        <v>1</v>
      </c>
      <c r="I189" s="231">
        <f t="shared" ca="1" si="58"/>
        <v>0.33039999999999997</v>
      </c>
      <c r="J189" s="233" t="s">
        <v>4</v>
      </c>
    </row>
    <row r="190" spans="1:10">
      <c r="A190" s="233"/>
      <c r="B190" s="233"/>
      <c r="C190" s="237" t="s">
        <v>47</v>
      </c>
      <c r="D190" s="233" t="s">
        <v>67</v>
      </c>
      <c r="E190" s="248">
        <v>1.1259999999999999</v>
      </c>
      <c r="F190" s="235">
        <f t="shared" si="56"/>
        <v>0.01</v>
      </c>
      <c r="G190" s="255">
        <f>1.126*F190</f>
        <v>1.1259999999999999E-2</v>
      </c>
      <c r="H190" s="236">
        <f t="shared" ref="H190" si="59">$I$194</f>
        <v>1</v>
      </c>
      <c r="I190" s="231">
        <f t="shared" si="58"/>
        <v>1.1259999999999999E-2</v>
      </c>
      <c r="J190" s="233" t="s">
        <v>4</v>
      </c>
    </row>
    <row r="191" spans="1:10">
      <c r="A191" s="233">
        <f>IF(LEN(B191)=0," ",COUNTA($B$30:B191))</f>
        <v>103</v>
      </c>
      <c r="B191" s="233">
        <v>13</v>
      </c>
      <c r="C191" s="234" t="s">
        <v>48</v>
      </c>
      <c r="D191" s="233" t="s">
        <v>69</v>
      </c>
      <c r="E191" s="242" t="s">
        <v>457</v>
      </c>
      <c r="F191" s="235">
        <f t="shared" si="56"/>
        <v>0.01</v>
      </c>
      <c r="G191" s="255">
        <f t="shared" ca="1" si="57"/>
        <v>3.6170000000000001E-2</v>
      </c>
      <c r="H191" s="236">
        <f>$I$171*3</f>
        <v>3</v>
      </c>
      <c r="I191" s="231">
        <f t="shared" ca="1" si="58"/>
        <v>0.10851</v>
      </c>
      <c r="J191" s="233" t="s">
        <v>4</v>
      </c>
    </row>
    <row r="192" spans="1:10">
      <c r="A192" s="233">
        <f>IF(LEN(B192)=0," ",COUNTA($B$30:B192))</f>
        <v>104</v>
      </c>
      <c r="B192" s="233">
        <v>14</v>
      </c>
      <c r="C192" s="234" t="s">
        <v>440</v>
      </c>
      <c r="D192" s="233" t="s">
        <v>72</v>
      </c>
      <c r="E192" s="233" t="s">
        <v>459</v>
      </c>
      <c r="F192" s="235">
        <f t="shared" si="56"/>
        <v>1</v>
      </c>
      <c r="G192" s="255">
        <f t="shared" ca="1" si="57"/>
        <v>12</v>
      </c>
      <c r="H192" s="236">
        <f>$I$171</f>
        <v>1</v>
      </c>
      <c r="I192" s="231">
        <f t="shared" ca="1" si="58"/>
        <v>12</v>
      </c>
      <c r="J192" s="233" t="s">
        <v>2</v>
      </c>
    </row>
    <row r="193" spans="1:10">
      <c r="A193" s="233">
        <f>IF(LEN(B193)=0," ",COUNTA($B$30:B193))</f>
        <v>105</v>
      </c>
      <c r="B193" s="233">
        <v>15</v>
      </c>
      <c r="C193" s="234" t="s">
        <v>124</v>
      </c>
      <c r="D193" s="233" t="s">
        <v>71</v>
      </c>
      <c r="E193" s="245" t="s">
        <v>458</v>
      </c>
      <c r="F193" s="235">
        <f t="shared" si="56"/>
        <v>1</v>
      </c>
      <c r="G193" s="255">
        <f t="shared" ca="1" si="57"/>
        <v>6.7</v>
      </c>
      <c r="H193" s="236">
        <f>$I$171</f>
        <v>1</v>
      </c>
      <c r="I193" s="231">
        <f t="shared" ca="1" si="58"/>
        <v>6.7</v>
      </c>
      <c r="J193" s="233" t="s">
        <v>2</v>
      </c>
    </row>
    <row r="194" spans="1:10">
      <c r="A194" s="229" t="s">
        <v>101</v>
      </c>
      <c r="B194" s="229"/>
      <c r="C194" s="230" t="s">
        <v>467</v>
      </c>
      <c r="D194" s="229"/>
      <c r="E194" s="229"/>
      <c r="F194" s="231"/>
      <c r="G194" s="231"/>
      <c r="H194" s="232"/>
      <c r="I194" s="231">
        <v>1</v>
      </c>
      <c r="J194" s="229" t="s">
        <v>24</v>
      </c>
    </row>
    <row r="195" spans="1:10">
      <c r="A195" s="233">
        <f>IF(LEN(B195)=0," ",COUNTA($B$30:B195))</f>
        <v>106</v>
      </c>
      <c r="B195" s="233">
        <v>1</v>
      </c>
      <c r="C195" s="234" t="s">
        <v>560</v>
      </c>
      <c r="D195" s="233"/>
      <c r="E195" s="229"/>
      <c r="F195" s="235">
        <f t="shared" ref="F195:F209" si="60">VLOOKUP(J195,$R$2:$S$22,2,0)</f>
        <v>1</v>
      </c>
      <c r="G195" s="235"/>
      <c r="H195" s="236">
        <f t="shared" ref="H195:H201" si="61">$I$194</f>
        <v>1</v>
      </c>
      <c r="I195" s="231">
        <f ca="1">SUM(I196:I197)</f>
        <v>5.1385000000000005</v>
      </c>
      <c r="J195" s="233" t="s">
        <v>5</v>
      </c>
    </row>
    <row r="196" spans="1:10" s="246" customFormat="1">
      <c r="A196" s="233"/>
      <c r="B196" s="233"/>
      <c r="C196" s="237" t="s">
        <v>342</v>
      </c>
      <c r="D196" s="233" t="s">
        <v>76</v>
      </c>
      <c r="E196" s="238" t="s">
        <v>451</v>
      </c>
      <c r="F196" s="235">
        <f t="shared" si="60"/>
        <v>1</v>
      </c>
      <c r="G196" s="235">
        <f ca="1">Eval(E196)*F196</f>
        <v>5.3100000000000005</v>
      </c>
      <c r="H196" s="236">
        <f t="shared" si="61"/>
        <v>1</v>
      </c>
      <c r="I196" s="231">
        <f ca="1">G196*H196</f>
        <v>5.3100000000000005</v>
      </c>
      <c r="J196" s="233" t="s">
        <v>5</v>
      </c>
    </row>
    <row r="197" spans="1:10">
      <c r="A197" s="233"/>
      <c r="B197" s="233"/>
      <c r="C197" s="237" t="s">
        <v>35</v>
      </c>
      <c r="D197" s="233" t="s">
        <v>55</v>
      </c>
      <c r="E197" s="239" t="s">
        <v>475</v>
      </c>
      <c r="F197" s="235">
        <f t="shared" si="60"/>
        <v>1</v>
      </c>
      <c r="G197" s="235">
        <f ca="1">Eval(E197)*F197</f>
        <v>-0.17149999999999999</v>
      </c>
      <c r="H197" s="236">
        <f t="shared" si="61"/>
        <v>1</v>
      </c>
      <c r="I197" s="231">
        <f ca="1">G197*H197</f>
        <v>-0.17149999999999999</v>
      </c>
      <c r="J197" s="233" t="s">
        <v>5</v>
      </c>
    </row>
    <row r="198" spans="1:10">
      <c r="A198" s="233">
        <f>IF(LEN(B198)=0," ",COUNTA($B$30:B198))</f>
        <v>107</v>
      </c>
      <c r="B198" s="233">
        <v>2</v>
      </c>
      <c r="C198" s="234" t="s">
        <v>437</v>
      </c>
      <c r="D198" s="233"/>
      <c r="E198" s="234"/>
      <c r="F198" s="235">
        <f t="shared" si="60"/>
        <v>1</v>
      </c>
      <c r="G198" s="235"/>
      <c r="H198" s="236">
        <f t="shared" si="61"/>
        <v>1</v>
      </c>
      <c r="I198" s="231">
        <f ca="1">SUM(I199:I200)</f>
        <v>25.198500000000003</v>
      </c>
      <c r="J198" s="233" t="s">
        <v>5</v>
      </c>
    </row>
    <row r="199" spans="1:10">
      <c r="A199" s="233"/>
      <c r="B199" s="233"/>
      <c r="C199" s="237" t="s">
        <v>344</v>
      </c>
      <c r="D199" s="233" t="s">
        <v>54</v>
      </c>
      <c r="E199" s="233" t="s">
        <v>452</v>
      </c>
      <c r="F199" s="235">
        <f t="shared" si="60"/>
        <v>1</v>
      </c>
      <c r="G199" s="235">
        <f ca="1">Eval(E199)*F199</f>
        <v>25.37</v>
      </c>
      <c r="H199" s="236">
        <f t="shared" si="61"/>
        <v>1</v>
      </c>
      <c r="I199" s="231">
        <f t="shared" ref="I199:I209" ca="1" si="62">G199*H199</f>
        <v>25.37</v>
      </c>
      <c r="J199" s="233" t="s">
        <v>5</v>
      </c>
    </row>
    <row r="200" spans="1:10">
      <c r="A200" s="233"/>
      <c r="B200" s="233"/>
      <c r="C200" s="237" t="s">
        <v>35</v>
      </c>
      <c r="D200" s="233" t="s">
        <v>55</v>
      </c>
      <c r="E200" s="239" t="s">
        <v>475</v>
      </c>
      <c r="F200" s="235">
        <f t="shared" si="60"/>
        <v>1</v>
      </c>
      <c r="G200" s="235">
        <f ca="1">Eval(E200)*F200</f>
        <v>-0.17149999999999999</v>
      </c>
      <c r="H200" s="236">
        <f t="shared" si="61"/>
        <v>1</v>
      </c>
      <c r="I200" s="231">
        <f t="shared" ca="1" si="62"/>
        <v>-0.17149999999999999</v>
      </c>
      <c r="J200" s="233" t="s">
        <v>5</v>
      </c>
    </row>
    <row r="201" spans="1:10">
      <c r="A201" s="233">
        <f>IF(LEN(B201)=0," ",COUNTA($B$30:B201))</f>
        <v>108</v>
      </c>
      <c r="B201" s="233">
        <v>3</v>
      </c>
      <c r="C201" s="234" t="s">
        <v>438</v>
      </c>
      <c r="D201" s="233" t="s">
        <v>56</v>
      </c>
      <c r="E201" s="241" t="s">
        <v>453</v>
      </c>
      <c r="F201" s="235">
        <f t="shared" si="60"/>
        <v>1</v>
      </c>
      <c r="G201" s="235">
        <f ca="1">Eval(E201)*F201</f>
        <v>13.286799999999999</v>
      </c>
      <c r="H201" s="236">
        <f t="shared" si="61"/>
        <v>1</v>
      </c>
      <c r="I201" s="231">
        <f t="shared" ca="1" si="62"/>
        <v>13.286799999999999</v>
      </c>
      <c r="J201" s="233" t="s">
        <v>5</v>
      </c>
    </row>
    <row r="202" spans="1:10">
      <c r="A202" s="233">
        <f>IF(LEN(B202)=0," ",COUNTA($B$30:B202))</f>
        <v>109</v>
      </c>
      <c r="B202" s="233">
        <v>4</v>
      </c>
      <c r="C202" s="234" t="s">
        <v>439</v>
      </c>
      <c r="D202" s="233" t="s">
        <v>57</v>
      </c>
      <c r="E202" s="242" t="s">
        <v>454</v>
      </c>
      <c r="F202" s="235">
        <f t="shared" si="60"/>
        <v>1</v>
      </c>
      <c r="G202" s="235">
        <f ca="1">Eval(E202)*F202</f>
        <v>0.42779999999999996</v>
      </c>
      <c r="H202" s="236">
        <f>$I$194*3</f>
        <v>3</v>
      </c>
      <c r="I202" s="231">
        <f t="shared" ca="1" si="62"/>
        <v>1.2833999999999999</v>
      </c>
      <c r="J202" s="233" t="s">
        <v>5</v>
      </c>
    </row>
    <row r="203" spans="1:10">
      <c r="A203" s="233">
        <f>IF(LEN(B203)=0," ",COUNTA($B$30:B203))</f>
        <v>110</v>
      </c>
      <c r="B203" s="233">
        <v>5</v>
      </c>
      <c r="C203" s="234" t="s">
        <v>39</v>
      </c>
      <c r="D203" s="333" t="s">
        <v>59</v>
      </c>
      <c r="E203" s="334"/>
      <c r="F203" s="235">
        <f t="shared" si="60"/>
        <v>1E-3</v>
      </c>
      <c r="G203" s="235">
        <v>2.7E-2</v>
      </c>
      <c r="H203" s="236">
        <f t="shared" ref="H203:H213" si="63">$I$194</f>
        <v>1</v>
      </c>
      <c r="I203" s="231">
        <f t="shared" si="62"/>
        <v>2.7E-2</v>
      </c>
      <c r="J203" s="233" t="s">
        <v>10</v>
      </c>
    </row>
    <row r="204" spans="1:10">
      <c r="A204" s="233">
        <f>IF(LEN(B204)=0," ",COUNTA($B$30:B204))</f>
        <v>111</v>
      </c>
      <c r="B204" s="233">
        <v>6</v>
      </c>
      <c r="C204" s="234" t="s">
        <v>40</v>
      </c>
      <c r="D204" s="333" t="s">
        <v>59</v>
      </c>
      <c r="E204" s="334"/>
      <c r="F204" s="235">
        <f t="shared" si="60"/>
        <v>1E-3</v>
      </c>
      <c r="G204" s="235">
        <v>0.99299999999999999</v>
      </c>
      <c r="H204" s="236">
        <f t="shared" si="63"/>
        <v>1</v>
      </c>
      <c r="I204" s="231">
        <f t="shared" si="62"/>
        <v>0.99299999999999999</v>
      </c>
      <c r="J204" s="233" t="s">
        <v>10</v>
      </c>
    </row>
    <row r="205" spans="1:10">
      <c r="A205" s="233">
        <f>IF(LEN(B205)=0," ",COUNTA($B$30:B205))</f>
        <v>112</v>
      </c>
      <c r="B205" s="233">
        <v>7</v>
      </c>
      <c r="C205" s="234" t="s">
        <v>41</v>
      </c>
      <c r="D205" s="333" t="s">
        <v>59</v>
      </c>
      <c r="E205" s="334"/>
      <c r="F205" s="235">
        <f t="shared" si="60"/>
        <v>1E-3</v>
      </c>
      <c r="G205" s="255">
        <v>2.1000000000000001E-2</v>
      </c>
      <c r="H205" s="236">
        <f t="shared" si="63"/>
        <v>1</v>
      </c>
      <c r="I205" s="231">
        <f t="shared" si="62"/>
        <v>2.1000000000000001E-2</v>
      </c>
      <c r="J205" s="233" t="s">
        <v>10</v>
      </c>
    </row>
    <row r="206" spans="1:10">
      <c r="A206" s="233">
        <f>IF(LEN(B206)=0," ",COUNTA($B$30:B206))</f>
        <v>113</v>
      </c>
      <c r="B206" s="233">
        <v>8</v>
      </c>
      <c r="C206" s="234" t="s">
        <v>42</v>
      </c>
      <c r="D206" s="333" t="s">
        <v>59</v>
      </c>
      <c r="E206" s="334"/>
      <c r="F206" s="235">
        <f t="shared" si="60"/>
        <v>1E-3</v>
      </c>
      <c r="G206" s="255">
        <v>0.84</v>
      </c>
      <c r="H206" s="236">
        <f t="shared" si="63"/>
        <v>1</v>
      </c>
      <c r="I206" s="231">
        <f t="shared" si="62"/>
        <v>0.84</v>
      </c>
      <c r="J206" s="233" t="s">
        <v>10</v>
      </c>
    </row>
    <row r="207" spans="1:10">
      <c r="A207" s="233">
        <f>IF(LEN(B207)=0," ",COUNTA($B$30:B207))</f>
        <v>114</v>
      </c>
      <c r="B207" s="233">
        <v>9</v>
      </c>
      <c r="C207" s="234" t="s">
        <v>61</v>
      </c>
      <c r="D207" s="333" t="s">
        <v>59</v>
      </c>
      <c r="E207" s="334"/>
      <c r="F207" s="235">
        <f t="shared" si="60"/>
        <v>1E-3</v>
      </c>
      <c r="G207" s="255">
        <v>0.17</v>
      </c>
      <c r="H207" s="236">
        <f>$I$194*4</f>
        <v>4</v>
      </c>
      <c r="I207" s="231">
        <f t="shared" si="62"/>
        <v>0.68</v>
      </c>
      <c r="J207" s="233" t="s">
        <v>10</v>
      </c>
    </row>
    <row r="208" spans="1:10">
      <c r="A208" s="233">
        <f>IF(LEN(B208)=0," ",COUNTA($B$30:B208))</f>
        <v>115</v>
      </c>
      <c r="B208" s="233">
        <v>10</v>
      </c>
      <c r="C208" s="234" t="s">
        <v>43</v>
      </c>
      <c r="D208" s="233" t="s">
        <v>79</v>
      </c>
      <c r="E208" s="242" t="s">
        <v>455</v>
      </c>
      <c r="F208" s="235">
        <f t="shared" si="60"/>
        <v>0.01</v>
      </c>
      <c r="G208" s="255">
        <f ca="1">Eval(E208)*F208</f>
        <v>2.8100000000000007E-2</v>
      </c>
      <c r="H208" s="236">
        <f t="shared" si="63"/>
        <v>1</v>
      </c>
      <c r="I208" s="231">
        <f t="shared" ca="1" si="62"/>
        <v>2.8100000000000007E-2</v>
      </c>
      <c r="J208" s="233" t="s">
        <v>4</v>
      </c>
    </row>
    <row r="209" spans="1:10">
      <c r="A209" s="233">
        <f>IF(LEN(B209)=0," ",COUNTA($B$30:B209))</f>
        <v>116</v>
      </c>
      <c r="B209" s="233">
        <v>11</v>
      </c>
      <c r="C209" s="234" t="s">
        <v>44</v>
      </c>
      <c r="D209" s="233" t="s">
        <v>62</v>
      </c>
      <c r="E209" s="233" t="s">
        <v>456</v>
      </c>
      <c r="F209" s="235">
        <f t="shared" si="60"/>
        <v>0.01</v>
      </c>
      <c r="G209" s="255">
        <f ca="1">Eval(E209)*F209</f>
        <v>0.13950000000000001</v>
      </c>
      <c r="H209" s="236">
        <f t="shared" si="63"/>
        <v>1</v>
      </c>
      <c r="I209" s="231">
        <f t="shared" ca="1" si="62"/>
        <v>0.13950000000000001</v>
      </c>
      <c r="J209" s="233" t="s">
        <v>4</v>
      </c>
    </row>
    <row r="210" spans="1:10">
      <c r="A210" s="233">
        <f>IF(LEN(B210)=0," ",COUNTA($B$30:B210))</f>
        <v>117</v>
      </c>
      <c r="B210" s="233">
        <v>12</v>
      </c>
      <c r="C210" s="234" t="s">
        <v>12</v>
      </c>
      <c r="D210" s="233"/>
      <c r="E210" s="243"/>
      <c r="F210" s="235"/>
      <c r="G210" s="255"/>
      <c r="H210" s="236">
        <f t="shared" si="63"/>
        <v>1</v>
      </c>
      <c r="I210" s="231">
        <f ca="1">SUM(I211:I213)</f>
        <v>0.67324000000000006</v>
      </c>
      <c r="J210" s="233" t="s">
        <v>4</v>
      </c>
    </row>
    <row r="211" spans="1:10">
      <c r="A211" s="233"/>
      <c r="B211" s="233"/>
      <c r="C211" s="237" t="s">
        <v>45</v>
      </c>
      <c r="D211" s="233" t="s">
        <v>62</v>
      </c>
      <c r="E211" s="238" t="s">
        <v>66</v>
      </c>
      <c r="F211" s="235">
        <f t="shared" ref="F211:F216" si="64">VLOOKUP(J211,$R$2:$S$22,2,0)</f>
        <v>0.01</v>
      </c>
      <c r="G211" s="255">
        <f t="shared" ref="G211:G216" ca="1" si="65">Eval(E211)*F211</f>
        <v>0.33158000000000004</v>
      </c>
      <c r="H211" s="236">
        <f t="shared" si="63"/>
        <v>1</v>
      </c>
      <c r="I211" s="231">
        <f t="shared" ref="I211:I216" ca="1" si="66">G211*H211</f>
        <v>0.33158000000000004</v>
      </c>
      <c r="J211" s="233" t="s">
        <v>4</v>
      </c>
    </row>
    <row r="212" spans="1:10">
      <c r="A212" s="233"/>
      <c r="B212" s="233"/>
      <c r="C212" s="237" t="s">
        <v>46</v>
      </c>
      <c r="D212" s="233" t="s">
        <v>62</v>
      </c>
      <c r="E212" s="238" t="s">
        <v>65</v>
      </c>
      <c r="F212" s="235">
        <f t="shared" si="64"/>
        <v>0.01</v>
      </c>
      <c r="G212" s="255">
        <f t="shared" ca="1" si="65"/>
        <v>0.33039999999999997</v>
      </c>
      <c r="H212" s="236">
        <f t="shared" si="63"/>
        <v>1</v>
      </c>
      <c r="I212" s="231">
        <f t="shared" ca="1" si="66"/>
        <v>0.33039999999999997</v>
      </c>
      <c r="J212" s="233" t="s">
        <v>4</v>
      </c>
    </row>
    <row r="213" spans="1:10">
      <c r="A213" s="233"/>
      <c r="B213" s="233"/>
      <c r="C213" s="237" t="s">
        <v>47</v>
      </c>
      <c r="D213" s="233" t="s">
        <v>67</v>
      </c>
      <c r="E213" s="248">
        <v>1.1259999999999999</v>
      </c>
      <c r="F213" s="235">
        <f t="shared" si="64"/>
        <v>0.01</v>
      </c>
      <c r="G213" s="255">
        <f>1.126*F213</f>
        <v>1.1259999999999999E-2</v>
      </c>
      <c r="H213" s="236">
        <f t="shared" si="63"/>
        <v>1</v>
      </c>
      <c r="I213" s="231">
        <f t="shared" si="66"/>
        <v>1.1259999999999999E-2</v>
      </c>
      <c r="J213" s="233" t="s">
        <v>4</v>
      </c>
    </row>
    <row r="214" spans="1:10">
      <c r="A214" s="233">
        <f>IF(LEN(B214)=0," ",COUNTA($B$30:B214))</f>
        <v>118</v>
      </c>
      <c r="B214" s="233">
        <v>13</v>
      </c>
      <c r="C214" s="234" t="s">
        <v>48</v>
      </c>
      <c r="D214" s="233" t="s">
        <v>69</v>
      </c>
      <c r="E214" s="242" t="s">
        <v>457</v>
      </c>
      <c r="F214" s="235">
        <f t="shared" si="64"/>
        <v>0.01</v>
      </c>
      <c r="G214" s="255">
        <f t="shared" ca="1" si="65"/>
        <v>3.6170000000000001E-2</v>
      </c>
      <c r="H214" s="236">
        <f>$I$194*3</f>
        <v>3</v>
      </c>
      <c r="I214" s="231">
        <f t="shared" ca="1" si="66"/>
        <v>0.10851</v>
      </c>
      <c r="J214" s="233" t="s">
        <v>4</v>
      </c>
    </row>
    <row r="215" spans="1:10">
      <c r="A215" s="233">
        <f>IF(LEN(B215)=0," ",COUNTA($B$30:B215))</f>
        <v>119</v>
      </c>
      <c r="B215" s="233">
        <v>14</v>
      </c>
      <c r="C215" s="234" t="s">
        <v>440</v>
      </c>
      <c r="D215" s="233" t="s">
        <v>72</v>
      </c>
      <c r="E215" s="233" t="s">
        <v>459</v>
      </c>
      <c r="F215" s="235">
        <f t="shared" si="64"/>
        <v>1</v>
      </c>
      <c r="G215" s="255">
        <f t="shared" ca="1" si="65"/>
        <v>12</v>
      </c>
      <c r="H215" s="236">
        <f>$I$194</f>
        <v>1</v>
      </c>
      <c r="I215" s="231">
        <f t="shared" ca="1" si="66"/>
        <v>12</v>
      </c>
      <c r="J215" s="233" t="s">
        <v>2</v>
      </c>
    </row>
    <row r="216" spans="1:10">
      <c r="A216" s="233">
        <f>IF(LEN(B216)=0," ",COUNTA($B$30:B216))</f>
        <v>120</v>
      </c>
      <c r="B216" s="233">
        <v>15</v>
      </c>
      <c r="C216" s="234" t="s">
        <v>124</v>
      </c>
      <c r="D216" s="233" t="s">
        <v>71</v>
      </c>
      <c r="E216" s="245" t="s">
        <v>458</v>
      </c>
      <c r="F216" s="235">
        <f t="shared" si="64"/>
        <v>1</v>
      </c>
      <c r="G216" s="255">
        <f t="shared" ca="1" si="65"/>
        <v>6.7</v>
      </c>
      <c r="H216" s="236">
        <f>$I$194</f>
        <v>1</v>
      </c>
      <c r="I216" s="231">
        <f t="shared" ca="1" si="66"/>
        <v>6.7</v>
      </c>
      <c r="J216" s="233" t="s">
        <v>2</v>
      </c>
    </row>
    <row r="217" spans="1:10">
      <c r="A217" s="229" t="s">
        <v>110</v>
      </c>
      <c r="B217" s="229"/>
      <c r="C217" s="230" t="s">
        <v>468</v>
      </c>
      <c r="D217" s="229"/>
      <c r="E217" s="229"/>
      <c r="F217" s="231"/>
      <c r="G217" s="231"/>
      <c r="H217" s="232"/>
      <c r="I217" s="231">
        <v>1</v>
      </c>
      <c r="J217" s="229" t="s">
        <v>24</v>
      </c>
    </row>
    <row r="218" spans="1:10">
      <c r="A218" s="233">
        <f>IF(LEN(B218)=0," ",COUNTA($B$30:B218))</f>
        <v>121</v>
      </c>
      <c r="B218" s="233">
        <v>1</v>
      </c>
      <c r="C218" s="234" t="s">
        <v>560</v>
      </c>
      <c r="D218" s="233"/>
      <c r="E218" s="229"/>
      <c r="F218" s="235">
        <f t="shared" ref="F218:F232" si="67">VLOOKUP(J218,$R$2:$S$22,2,0)</f>
        <v>1</v>
      </c>
      <c r="G218" s="235"/>
      <c r="H218" s="236">
        <f t="shared" ref="H218:H224" si="68">$I$194</f>
        <v>1</v>
      </c>
      <c r="I218" s="231">
        <f ca="1">SUM(I219:I220)</f>
        <v>6.3727499999999999</v>
      </c>
      <c r="J218" s="233" t="s">
        <v>5</v>
      </c>
    </row>
    <row r="219" spans="1:10" s="246" customFormat="1">
      <c r="A219" s="233"/>
      <c r="B219" s="233"/>
      <c r="C219" s="237" t="s">
        <v>342</v>
      </c>
      <c r="D219" s="233" t="s">
        <v>76</v>
      </c>
      <c r="E219" s="238" t="s">
        <v>484</v>
      </c>
      <c r="F219" s="235">
        <f t="shared" si="67"/>
        <v>1</v>
      </c>
      <c r="G219" s="235">
        <f ca="1">Eval(E219)*F219</f>
        <v>6.5564999999999998</v>
      </c>
      <c r="H219" s="236">
        <f t="shared" si="68"/>
        <v>1</v>
      </c>
      <c r="I219" s="231">
        <f ca="1">G219*H219</f>
        <v>6.5564999999999998</v>
      </c>
      <c r="J219" s="233" t="s">
        <v>5</v>
      </c>
    </row>
    <row r="220" spans="1:10">
      <c r="A220" s="233"/>
      <c r="B220" s="233"/>
      <c r="C220" s="237" t="s">
        <v>35</v>
      </c>
      <c r="D220" s="233" t="s">
        <v>55</v>
      </c>
      <c r="E220" s="239" t="s">
        <v>486</v>
      </c>
      <c r="F220" s="235">
        <f t="shared" si="67"/>
        <v>1</v>
      </c>
      <c r="G220" s="235">
        <f ca="1">Eval(E220)*F220</f>
        <v>-0.18375</v>
      </c>
      <c r="H220" s="236">
        <f t="shared" si="68"/>
        <v>1</v>
      </c>
      <c r="I220" s="231">
        <f ca="1">G220*H220</f>
        <v>-0.18375</v>
      </c>
      <c r="J220" s="233" t="s">
        <v>5</v>
      </c>
    </row>
    <row r="221" spans="1:10">
      <c r="A221" s="233">
        <f>IF(LEN(B221)=0," ",COUNTA($B$30:B221))</f>
        <v>122</v>
      </c>
      <c r="B221" s="233">
        <v>2</v>
      </c>
      <c r="C221" s="234" t="s">
        <v>437</v>
      </c>
      <c r="D221" s="233"/>
      <c r="E221" s="234"/>
      <c r="F221" s="235">
        <f t="shared" si="67"/>
        <v>1</v>
      </c>
      <c r="G221" s="235"/>
      <c r="H221" s="236">
        <f t="shared" si="68"/>
        <v>1</v>
      </c>
      <c r="I221" s="231">
        <f ca="1">SUM(I222:I223)</f>
        <v>31.233624999999996</v>
      </c>
      <c r="J221" s="233" t="s">
        <v>5</v>
      </c>
    </row>
    <row r="222" spans="1:10">
      <c r="A222" s="233"/>
      <c r="B222" s="233"/>
      <c r="C222" s="237" t="s">
        <v>344</v>
      </c>
      <c r="D222" s="233" t="s">
        <v>54</v>
      </c>
      <c r="E222" s="233" t="s">
        <v>485</v>
      </c>
      <c r="F222" s="235">
        <f t="shared" si="67"/>
        <v>1</v>
      </c>
      <c r="G222" s="235">
        <f ca="1">Eval(E222)*F222</f>
        <v>31.325499999999998</v>
      </c>
      <c r="H222" s="236">
        <f t="shared" si="68"/>
        <v>1</v>
      </c>
      <c r="I222" s="231">
        <f t="shared" ref="I222:I232" ca="1" si="69">G222*H222</f>
        <v>31.325499999999998</v>
      </c>
      <c r="J222" s="233" t="s">
        <v>5</v>
      </c>
    </row>
    <row r="223" spans="1:10">
      <c r="A223" s="233"/>
      <c r="B223" s="233"/>
      <c r="C223" s="237" t="s">
        <v>35</v>
      </c>
      <c r="D223" s="233" t="s">
        <v>55</v>
      </c>
      <c r="E223" s="240" t="s">
        <v>487</v>
      </c>
      <c r="F223" s="235">
        <f t="shared" si="67"/>
        <v>1</v>
      </c>
      <c r="G223" s="235">
        <f ca="1">Eval(E223)*F223</f>
        <v>-9.1874999999999998E-2</v>
      </c>
      <c r="H223" s="236">
        <f t="shared" si="68"/>
        <v>1</v>
      </c>
      <c r="I223" s="231">
        <f t="shared" ca="1" si="69"/>
        <v>-9.1874999999999998E-2</v>
      </c>
      <c r="J223" s="233" t="s">
        <v>5</v>
      </c>
    </row>
    <row r="224" spans="1:10">
      <c r="A224" s="233">
        <f>IF(LEN(B224)=0," ",COUNTA($B$30:B224))</f>
        <v>123</v>
      </c>
      <c r="B224" s="233">
        <v>3</v>
      </c>
      <c r="C224" s="234" t="s">
        <v>438</v>
      </c>
      <c r="D224" s="233" t="s">
        <v>56</v>
      </c>
      <c r="E224" s="241" t="s">
        <v>488</v>
      </c>
      <c r="F224" s="235">
        <f t="shared" si="67"/>
        <v>1</v>
      </c>
      <c r="G224" s="235">
        <f ca="1">Eval(E224)*F224</f>
        <v>16.405819999999999</v>
      </c>
      <c r="H224" s="236">
        <f t="shared" si="68"/>
        <v>1</v>
      </c>
      <c r="I224" s="231">
        <f t="shared" ca="1" si="69"/>
        <v>16.405819999999999</v>
      </c>
      <c r="J224" s="233" t="s">
        <v>5</v>
      </c>
    </row>
    <row r="225" spans="1:10">
      <c r="A225" s="233">
        <f>IF(LEN(B225)=0," ",COUNTA($B$30:B225))</f>
        <v>124</v>
      </c>
      <c r="B225" s="233">
        <v>4</v>
      </c>
      <c r="C225" s="234" t="s">
        <v>439</v>
      </c>
      <c r="D225" s="233" t="s">
        <v>57</v>
      </c>
      <c r="E225" s="242" t="s">
        <v>454</v>
      </c>
      <c r="F225" s="235">
        <f t="shared" si="67"/>
        <v>1</v>
      </c>
      <c r="G225" s="235">
        <f ca="1">Eval(E225)*F225</f>
        <v>0.42779999999999996</v>
      </c>
      <c r="H225" s="236">
        <f>$I$194*3</f>
        <v>3</v>
      </c>
      <c r="I225" s="231">
        <f t="shared" ca="1" si="69"/>
        <v>1.2833999999999999</v>
      </c>
      <c r="J225" s="233" t="s">
        <v>5</v>
      </c>
    </row>
    <row r="226" spans="1:10">
      <c r="A226" s="233">
        <f>IF(LEN(B226)=0," ",COUNTA($B$30:B226))</f>
        <v>125</v>
      </c>
      <c r="B226" s="233">
        <v>5</v>
      </c>
      <c r="C226" s="234" t="s">
        <v>39</v>
      </c>
      <c r="D226" s="333" t="s">
        <v>59</v>
      </c>
      <c r="E226" s="334"/>
      <c r="F226" s="235">
        <f t="shared" si="67"/>
        <v>1E-3</v>
      </c>
      <c r="G226" s="235">
        <v>3.3000000000000002E-2</v>
      </c>
      <c r="H226" s="236">
        <f t="shared" ref="H226:H236" si="70">$I$194</f>
        <v>1</v>
      </c>
      <c r="I226" s="231">
        <f t="shared" si="69"/>
        <v>3.3000000000000002E-2</v>
      </c>
      <c r="J226" s="233" t="s">
        <v>10</v>
      </c>
    </row>
    <row r="227" spans="1:10">
      <c r="A227" s="233">
        <f>IF(LEN(B227)=0," ",COUNTA($B$30:B227))</f>
        <v>126</v>
      </c>
      <c r="B227" s="233">
        <v>6</v>
      </c>
      <c r="C227" s="234" t="s">
        <v>40</v>
      </c>
      <c r="D227" s="333" t="s">
        <v>59</v>
      </c>
      <c r="E227" s="334"/>
      <c r="F227" s="235">
        <f t="shared" si="67"/>
        <v>1E-3</v>
      </c>
      <c r="G227" s="235">
        <v>1.226</v>
      </c>
      <c r="H227" s="236">
        <f t="shared" si="70"/>
        <v>1</v>
      </c>
      <c r="I227" s="231">
        <f t="shared" si="69"/>
        <v>1.226</v>
      </c>
      <c r="J227" s="233" t="s">
        <v>10</v>
      </c>
    </row>
    <row r="228" spans="1:10">
      <c r="A228" s="233">
        <f>IF(LEN(B228)=0," ",COUNTA($B$30:B228))</f>
        <v>127</v>
      </c>
      <c r="B228" s="233">
        <v>7</v>
      </c>
      <c r="C228" s="234" t="s">
        <v>41</v>
      </c>
      <c r="D228" s="333" t="s">
        <v>59</v>
      </c>
      <c r="E228" s="334"/>
      <c r="F228" s="235">
        <f t="shared" si="67"/>
        <v>1E-3</v>
      </c>
      <c r="G228" s="255">
        <v>2.5999999999999999E-2</v>
      </c>
      <c r="H228" s="236">
        <f t="shared" si="70"/>
        <v>1</v>
      </c>
      <c r="I228" s="231">
        <f t="shared" si="69"/>
        <v>2.5999999999999999E-2</v>
      </c>
      <c r="J228" s="233" t="s">
        <v>10</v>
      </c>
    </row>
    <row r="229" spans="1:10">
      <c r="A229" s="233">
        <f>IF(LEN(B229)=0," ",COUNTA($B$30:B229))</f>
        <v>128</v>
      </c>
      <c r="B229" s="233">
        <v>8</v>
      </c>
      <c r="C229" s="234" t="s">
        <v>42</v>
      </c>
      <c r="D229" s="333" t="s">
        <v>59</v>
      </c>
      <c r="E229" s="334"/>
      <c r="F229" s="235">
        <f t="shared" si="67"/>
        <v>1E-3</v>
      </c>
      <c r="G229" s="255">
        <v>1.0369999999999999</v>
      </c>
      <c r="H229" s="236">
        <f t="shared" si="70"/>
        <v>1</v>
      </c>
      <c r="I229" s="231">
        <f t="shared" si="69"/>
        <v>1.0369999999999999</v>
      </c>
      <c r="J229" s="233" t="s">
        <v>10</v>
      </c>
    </row>
    <row r="230" spans="1:10">
      <c r="A230" s="233">
        <f>IF(LEN(B230)=0," ",COUNTA($B$30:B230))</f>
        <v>129</v>
      </c>
      <c r="B230" s="233">
        <v>9</v>
      </c>
      <c r="C230" s="234" t="s">
        <v>61</v>
      </c>
      <c r="D230" s="333" t="s">
        <v>59</v>
      </c>
      <c r="E230" s="334"/>
      <c r="F230" s="235">
        <f t="shared" si="67"/>
        <v>1E-3</v>
      </c>
      <c r="G230" s="255">
        <v>0.21</v>
      </c>
      <c r="H230" s="236">
        <f>$I$194*3</f>
        <v>3</v>
      </c>
      <c r="I230" s="231">
        <f t="shared" si="69"/>
        <v>0.63</v>
      </c>
      <c r="J230" s="233" t="s">
        <v>10</v>
      </c>
    </row>
    <row r="231" spans="1:10">
      <c r="A231" s="233">
        <f>IF(LEN(B231)=0," ",COUNTA($B$30:B231))</f>
        <v>130</v>
      </c>
      <c r="B231" s="233">
        <v>10</v>
      </c>
      <c r="C231" s="234" t="s">
        <v>43</v>
      </c>
      <c r="D231" s="233" t="s">
        <v>79</v>
      </c>
      <c r="E231" s="242" t="s">
        <v>489</v>
      </c>
      <c r="F231" s="235">
        <f t="shared" si="67"/>
        <v>0.01</v>
      </c>
      <c r="G231" s="255">
        <f ca="1">Eval(E231)*F231</f>
        <v>3.3640000000000003E-2</v>
      </c>
      <c r="H231" s="236">
        <f t="shared" si="70"/>
        <v>1</v>
      </c>
      <c r="I231" s="231">
        <f t="shared" ca="1" si="69"/>
        <v>3.3640000000000003E-2</v>
      </c>
      <c r="J231" s="233" t="s">
        <v>4</v>
      </c>
    </row>
    <row r="232" spans="1:10">
      <c r="A232" s="233">
        <f>IF(LEN(B232)=0," ",COUNTA($B$30:B232))</f>
        <v>131</v>
      </c>
      <c r="B232" s="233">
        <v>11</v>
      </c>
      <c r="C232" s="234" t="s">
        <v>44</v>
      </c>
      <c r="D232" s="233" t="s">
        <v>62</v>
      </c>
      <c r="E232" s="233" t="s">
        <v>490</v>
      </c>
      <c r="F232" s="235">
        <f t="shared" si="67"/>
        <v>0.01</v>
      </c>
      <c r="G232" s="255">
        <f ca="1">Eval(E232)*F232</f>
        <v>0.16719999999999999</v>
      </c>
      <c r="H232" s="236">
        <f t="shared" si="70"/>
        <v>1</v>
      </c>
      <c r="I232" s="231">
        <f t="shared" ca="1" si="69"/>
        <v>0.16719999999999999</v>
      </c>
      <c r="J232" s="233" t="s">
        <v>4</v>
      </c>
    </row>
    <row r="233" spans="1:10">
      <c r="A233" s="233">
        <f>IF(LEN(B233)=0," ",COUNTA($B$30:B233))</f>
        <v>132</v>
      </c>
      <c r="B233" s="233">
        <v>12</v>
      </c>
      <c r="C233" s="234" t="s">
        <v>12</v>
      </c>
      <c r="D233" s="233"/>
      <c r="E233" s="243"/>
      <c r="F233" s="235"/>
      <c r="G233" s="255"/>
      <c r="H233" s="236">
        <f t="shared" si="70"/>
        <v>1</v>
      </c>
      <c r="I233" s="231">
        <f ca="1">SUM(I234:I236)</f>
        <v>0.82863700000000007</v>
      </c>
      <c r="J233" s="233" t="s">
        <v>4</v>
      </c>
    </row>
    <row r="234" spans="1:10">
      <c r="A234" s="233"/>
      <c r="B234" s="233"/>
      <c r="C234" s="237" t="s">
        <v>45</v>
      </c>
      <c r="D234" s="233" t="s">
        <v>62</v>
      </c>
      <c r="E234" s="238" t="s">
        <v>491</v>
      </c>
      <c r="F234" s="235">
        <f t="shared" ref="F234:F239" si="71">VLOOKUP(J234,$R$2:$S$22,2,0)</f>
        <v>0.01</v>
      </c>
      <c r="G234" s="255">
        <f t="shared" ref="G234:G239" ca="1" si="72">Eval(E234)*F234</f>
        <v>0.40941700000000003</v>
      </c>
      <c r="H234" s="236">
        <f t="shared" si="70"/>
        <v>1</v>
      </c>
      <c r="I234" s="231">
        <f t="shared" ref="I234:I239" ca="1" si="73">G234*H234</f>
        <v>0.40941700000000003</v>
      </c>
      <c r="J234" s="233" t="s">
        <v>4</v>
      </c>
    </row>
    <row r="235" spans="1:10">
      <c r="A235" s="233"/>
      <c r="B235" s="233"/>
      <c r="C235" s="237" t="s">
        <v>46</v>
      </c>
      <c r="D235" s="233" t="s">
        <v>62</v>
      </c>
      <c r="E235" s="238" t="s">
        <v>492</v>
      </c>
      <c r="F235" s="235">
        <f t="shared" si="71"/>
        <v>0.01</v>
      </c>
      <c r="G235" s="255">
        <f t="shared" ca="1" si="72"/>
        <v>0.40795999999999999</v>
      </c>
      <c r="H235" s="236">
        <f t="shared" si="70"/>
        <v>1</v>
      </c>
      <c r="I235" s="231">
        <f t="shared" ca="1" si="73"/>
        <v>0.40795999999999999</v>
      </c>
      <c r="J235" s="233" t="s">
        <v>4</v>
      </c>
    </row>
    <row r="236" spans="1:10">
      <c r="A236" s="233"/>
      <c r="B236" s="233"/>
      <c r="C236" s="237" t="s">
        <v>47</v>
      </c>
      <c r="D236" s="233" t="s">
        <v>67</v>
      </c>
      <c r="E236" s="248">
        <v>1.1259999999999999</v>
      </c>
      <c r="F236" s="235">
        <f t="shared" si="71"/>
        <v>0.01</v>
      </c>
      <c r="G236" s="255">
        <f>1.126*F236</f>
        <v>1.1259999999999999E-2</v>
      </c>
      <c r="H236" s="236">
        <f t="shared" si="70"/>
        <v>1</v>
      </c>
      <c r="I236" s="231">
        <f t="shared" si="73"/>
        <v>1.1259999999999999E-2</v>
      </c>
      <c r="J236" s="233" t="s">
        <v>4</v>
      </c>
    </row>
    <row r="237" spans="1:10">
      <c r="A237" s="233">
        <f>IF(LEN(B237)=0," ",COUNTA($B$30:B237))</f>
        <v>133</v>
      </c>
      <c r="B237" s="233">
        <v>13</v>
      </c>
      <c r="C237" s="234" t="s">
        <v>48</v>
      </c>
      <c r="D237" s="233" t="s">
        <v>69</v>
      </c>
      <c r="E237" s="242" t="s">
        <v>457</v>
      </c>
      <c r="F237" s="235">
        <f t="shared" si="71"/>
        <v>0.01</v>
      </c>
      <c r="G237" s="255">
        <f t="shared" ca="1" si="72"/>
        <v>3.6170000000000001E-2</v>
      </c>
      <c r="H237" s="236">
        <f>$I$194*3</f>
        <v>3</v>
      </c>
      <c r="I237" s="231">
        <f t="shared" ca="1" si="73"/>
        <v>0.10851</v>
      </c>
      <c r="J237" s="233" t="s">
        <v>4</v>
      </c>
    </row>
    <row r="238" spans="1:10">
      <c r="A238" s="233">
        <f>IF(LEN(B238)=0," ",COUNTA($B$30:B238))</f>
        <v>134</v>
      </c>
      <c r="B238" s="233">
        <v>14</v>
      </c>
      <c r="C238" s="234" t="s">
        <v>440</v>
      </c>
      <c r="D238" s="233" t="s">
        <v>72</v>
      </c>
      <c r="E238" s="233" t="s">
        <v>442</v>
      </c>
      <c r="F238" s="235">
        <f t="shared" si="71"/>
        <v>1</v>
      </c>
      <c r="G238" s="255">
        <f t="shared" ca="1" si="72"/>
        <v>15</v>
      </c>
      <c r="H238" s="236">
        <f>$I$194</f>
        <v>1</v>
      </c>
      <c r="I238" s="231">
        <f t="shared" ca="1" si="73"/>
        <v>15</v>
      </c>
      <c r="J238" s="233" t="s">
        <v>2</v>
      </c>
    </row>
    <row r="239" spans="1:10">
      <c r="A239" s="233">
        <f>IF(LEN(B239)=0," ",COUNTA($B$30:B239))</f>
        <v>135</v>
      </c>
      <c r="B239" s="233">
        <v>15</v>
      </c>
      <c r="C239" s="234" t="s">
        <v>124</v>
      </c>
      <c r="D239" s="233" t="s">
        <v>71</v>
      </c>
      <c r="E239" s="245" t="s">
        <v>458</v>
      </c>
      <c r="F239" s="235">
        <f t="shared" si="71"/>
        <v>1</v>
      </c>
      <c r="G239" s="255">
        <f t="shared" ca="1" si="72"/>
        <v>6.7</v>
      </c>
      <c r="H239" s="236">
        <f>$I$194</f>
        <v>1</v>
      </c>
      <c r="I239" s="231">
        <f t="shared" ca="1" si="73"/>
        <v>6.7</v>
      </c>
      <c r="J239" s="233" t="s">
        <v>2</v>
      </c>
    </row>
    <row r="240" spans="1:10">
      <c r="A240" s="229" t="s">
        <v>119</v>
      </c>
      <c r="B240" s="229"/>
      <c r="C240" s="230" t="s">
        <v>469</v>
      </c>
      <c r="D240" s="229"/>
      <c r="E240" s="229"/>
      <c r="F240" s="231"/>
      <c r="G240" s="231"/>
      <c r="H240" s="232"/>
      <c r="I240" s="231">
        <v>1</v>
      </c>
      <c r="J240" s="229" t="s">
        <v>24</v>
      </c>
    </row>
    <row r="241" spans="1:10">
      <c r="A241" s="233">
        <f>IF(LEN(B241)=0," ",COUNTA($B$30:B241))</f>
        <v>136</v>
      </c>
      <c r="B241" s="233">
        <v>1</v>
      </c>
      <c r="C241" s="234" t="s">
        <v>560</v>
      </c>
      <c r="D241" s="233"/>
      <c r="E241" s="229"/>
      <c r="F241" s="235">
        <f t="shared" ref="F241:F255" si="74">VLOOKUP(J241,$R$2:$S$22,2,0)</f>
        <v>1</v>
      </c>
      <c r="G241" s="235"/>
      <c r="H241" s="236">
        <f t="shared" ref="H241:H247" si="75">$I$194</f>
        <v>1</v>
      </c>
      <c r="I241" s="231">
        <f ca="1">SUM(I242:I243)</f>
        <v>5.1752500000000001</v>
      </c>
      <c r="J241" s="233" t="s">
        <v>5</v>
      </c>
    </row>
    <row r="242" spans="1:10">
      <c r="A242" s="233"/>
      <c r="B242" s="233"/>
      <c r="C242" s="237" t="s">
        <v>342</v>
      </c>
      <c r="D242" s="233" t="s">
        <v>76</v>
      </c>
      <c r="E242" s="238" t="s">
        <v>451</v>
      </c>
      <c r="F242" s="235">
        <f t="shared" si="74"/>
        <v>1</v>
      </c>
      <c r="G242" s="235">
        <f ca="1">Eval(E242)*F242</f>
        <v>5.3100000000000005</v>
      </c>
      <c r="H242" s="236">
        <f t="shared" si="75"/>
        <v>1</v>
      </c>
      <c r="I242" s="231">
        <f ca="1">G242*H242</f>
        <v>5.3100000000000005</v>
      </c>
      <c r="J242" s="233" t="s">
        <v>5</v>
      </c>
    </row>
    <row r="243" spans="1:10">
      <c r="A243" s="233"/>
      <c r="B243" s="233"/>
      <c r="C243" s="237" t="s">
        <v>35</v>
      </c>
      <c r="D243" s="233" t="s">
        <v>55</v>
      </c>
      <c r="E243" s="239" t="s">
        <v>51</v>
      </c>
      <c r="F243" s="235">
        <f t="shared" si="74"/>
        <v>1</v>
      </c>
      <c r="G243" s="235">
        <f ca="1">Eval(E243)*F243</f>
        <v>-0.13474999999999998</v>
      </c>
      <c r="H243" s="236">
        <f t="shared" si="75"/>
        <v>1</v>
      </c>
      <c r="I243" s="231">
        <f ca="1">G243*H243</f>
        <v>-0.13474999999999998</v>
      </c>
      <c r="J243" s="233" t="s">
        <v>5</v>
      </c>
    </row>
    <row r="244" spans="1:10">
      <c r="A244" s="233">
        <f>IF(LEN(B244)=0," ",COUNTA($B$30:B244))</f>
        <v>137</v>
      </c>
      <c r="B244" s="233">
        <v>2</v>
      </c>
      <c r="C244" s="234" t="s">
        <v>437</v>
      </c>
      <c r="D244" s="233"/>
      <c r="E244" s="234"/>
      <c r="F244" s="235">
        <f t="shared" si="74"/>
        <v>1</v>
      </c>
      <c r="G244" s="235"/>
      <c r="H244" s="236">
        <f t="shared" si="75"/>
        <v>1</v>
      </c>
      <c r="I244" s="231">
        <f ca="1">SUM(I245:I246)</f>
        <v>25.235250000000001</v>
      </c>
      <c r="J244" s="233" t="s">
        <v>5</v>
      </c>
    </row>
    <row r="245" spans="1:10">
      <c r="A245" s="233"/>
      <c r="B245" s="233"/>
      <c r="C245" s="237" t="s">
        <v>344</v>
      </c>
      <c r="D245" s="233" t="s">
        <v>54</v>
      </c>
      <c r="E245" s="233" t="s">
        <v>452</v>
      </c>
      <c r="F245" s="235">
        <f t="shared" si="74"/>
        <v>1</v>
      </c>
      <c r="G245" s="235">
        <f ca="1">Eval(E245)*F245</f>
        <v>25.37</v>
      </c>
      <c r="H245" s="236">
        <f t="shared" si="75"/>
        <v>1</v>
      </c>
      <c r="I245" s="231">
        <f t="shared" ref="I245:I255" ca="1" si="76">G245*H245</f>
        <v>25.37</v>
      </c>
      <c r="J245" s="233" t="s">
        <v>5</v>
      </c>
    </row>
    <row r="246" spans="1:10">
      <c r="A246" s="233"/>
      <c r="B246" s="233"/>
      <c r="C246" s="237" t="s">
        <v>35</v>
      </c>
      <c r="D246" s="233" t="s">
        <v>55</v>
      </c>
      <c r="E246" s="239" t="s">
        <v>51</v>
      </c>
      <c r="F246" s="235">
        <f t="shared" si="74"/>
        <v>1</v>
      </c>
      <c r="G246" s="235">
        <f ca="1">Eval(E246)*F246</f>
        <v>-0.13474999999999998</v>
      </c>
      <c r="H246" s="236">
        <f t="shared" si="75"/>
        <v>1</v>
      </c>
      <c r="I246" s="231">
        <f t="shared" ca="1" si="76"/>
        <v>-0.13474999999999998</v>
      </c>
      <c r="J246" s="233" t="s">
        <v>5</v>
      </c>
    </row>
    <row r="247" spans="1:10" s="246" customFormat="1">
      <c r="A247" s="233">
        <f>IF(LEN(B247)=0," ",COUNTA($B$30:B247))</f>
        <v>138</v>
      </c>
      <c r="B247" s="233">
        <v>3</v>
      </c>
      <c r="C247" s="234" t="s">
        <v>438</v>
      </c>
      <c r="D247" s="233" t="s">
        <v>56</v>
      </c>
      <c r="E247" s="241" t="s">
        <v>453</v>
      </c>
      <c r="F247" s="235">
        <f t="shared" si="74"/>
        <v>1</v>
      </c>
      <c r="G247" s="235">
        <f ca="1">Eval(E247)*F247</f>
        <v>13.286799999999999</v>
      </c>
      <c r="H247" s="236">
        <f t="shared" si="75"/>
        <v>1</v>
      </c>
      <c r="I247" s="231">
        <f t="shared" ca="1" si="76"/>
        <v>13.286799999999999</v>
      </c>
      <c r="J247" s="233" t="s">
        <v>5</v>
      </c>
    </row>
    <row r="248" spans="1:10">
      <c r="A248" s="233">
        <f>IF(LEN(B248)=0," ",COUNTA($B$30:B248))</f>
        <v>139</v>
      </c>
      <c r="B248" s="233">
        <v>4</v>
      </c>
      <c r="C248" s="234" t="s">
        <v>439</v>
      </c>
      <c r="D248" s="233" t="s">
        <v>57</v>
      </c>
      <c r="E248" s="242" t="s">
        <v>454</v>
      </c>
      <c r="F248" s="235">
        <f t="shared" si="74"/>
        <v>1</v>
      </c>
      <c r="G248" s="235">
        <f ca="1">Eval(E248)*F248</f>
        <v>0.42779999999999996</v>
      </c>
      <c r="H248" s="236">
        <f>$I$194*3</f>
        <v>3</v>
      </c>
      <c r="I248" s="231">
        <f t="shared" ca="1" si="76"/>
        <v>1.2833999999999999</v>
      </c>
      <c r="J248" s="233" t="s">
        <v>5</v>
      </c>
    </row>
    <row r="249" spans="1:10">
      <c r="A249" s="233">
        <f>IF(LEN(B249)=0," ",COUNTA($B$30:B249))</f>
        <v>140</v>
      </c>
      <c r="B249" s="233">
        <v>5</v>
      </c>
      <c r="C249" s="234" t="s">
        <v>39</v>
      </c>
      <c r="D249" s="333" t="s">
        <v>59</v>
      </c>
      <c r="E249" s="334"/>
      <c r="F249" s="235">
        <f t="shared" si="74"/>
        <v>1E-3</v>
      </c>
      <c r="G249" s="235">
        <v>2.7E-2</v>
      </c>
      <c r="H249" s="236">
        <f t="shared" ref="H249:H259" si="77">$I$194</f>
        <v>1</v>
      </c>
      <c r="I249" s="231">
        <f t="shared" si="76"/>
        <v>2.7E-2</v>
      </c>
      <c r="J249" s="233" t="s">
        <v>10</v>
      </c>
    </row>
    <row r="250" spans="1:10">
      <c r="A250" s="233">
        <f>IF(LEN(B250)=0," ",COUNTA($B$30:B250))</f>
        <v>141</v>
      </c>
      <c r="B250" s="233">
        <v>6</v>
      </c>
      <c r="C250" s="234" t="s">
        <v>40</v>
      </c>
      <c r="D250" s="333" t="s">
        <v>59</v>
      </c>
      <c r="E250" s="334"/>
      <c r="F250" s="235">
        <f t="shared" si="74"/>
        <v>1E-3</v>
      </c>
      <c r="G250" s="235">
        <v>0.99299999999999999</v>
      </c>
      <c r="H250" s="236">
        <f t="shared" si="77"/>
        <v>1</v>
      </c>
      <c r="I250" s="231">
        <f t="shared" si="76"/>
        <v>0.99299999999999999</v>
      </c>
      <c r="J250" s="233" t="s">
        <v>10</v>
      </c>
    </row>
    <row r="251" spans="1:10">
      <c r="A251" s="233">
        <f>IF(LEN(B251)=0," ",COUNTA($B$30:B251))</f>
        <v>142</v>
      </c>
      <c r="B251" s="233">
        <v>7</v>
      </c>
      <c r="C251" s="234" t="s">
        <v>41</v>
      </c>
      <c r="D251" s="333" t="s">
        <v>59</v>
      </c>
      <c r="E251" s="334"/>
      <c r="F251" s="235">
        <f t="shared" si="74"/>
        <v>1E-3</v>
      </c>
      <c r="G251" s="255">
        <v>2.1000000000000001E-2</v>
      </c>
      <c r="H251" s="236">
        <f t="shared" si="77"/>
        <v>1</v>
      </c>
      <c r="I251" s="231">
        <f t="shared" si="76"/>
        <v>2.1000000000000001E-2</v>
      </c>
      <c r="J251" s="233" t="s">
        <v>10</v>
      </c>
    </row>
    <row r="252" spans="1:10">
      <c r="A252" s="233">
        <f>IF(LEN(B252)=0," ",COUNTA($B$30:B252))</f>
        <v>143</v>
      </c>
      <c r="B252" s="233">
        <v>8</v>
      </c>
      <c r="C252" s="234" t="s">
        <v>42</v>
      </c>
      <c r="D252" s="333" t="s">
        <v>59</v>
      </c>
      <c r="E252" s="334"/>
      <c r="F252" s="235">
        <f t="shared" si="74"/>
        <v>1E-3</v>
      </c>
      <c r="G252" s="255">
        <v>0.84</v>
      </c>
      <c r="H252" s="236">
        <f t="shared" si="77"/>
        <v>1</v>
      </c>
      <c r="I252" s="231">
        <f t="shared" si="76"/>
        <v>0.84</v>
      </c>
      <c r="J252" s="233" t="s">
        <v>10</v>
      </c>
    </row>
    <row r="253" spans="1:10">
      <c r="A253" s="233">
        <f>IF(LEN(B253)=0," ",COUNTA($B$30:B253))</f>
        <v>144</v>
      </c>
      <c r="B253" s="233">
        <v>9</v>
      </c>
      <c r="C253" s="234" t="s">
        <v>61</v>
      </c>
      <c r="D253" s="333" t="s">
        <v>59</v>
      </c>
      <c r="E253" s="334"/>
      <c r="F253" s="235">
        <f t="shared" si="74"/>
        <v>1E-3</v>
      </c>
      <c r="G253" s="255">
        <v>0.17</v>
      </c>
      <c r="H253" s="236">
        <f>$I$194*3</f>
        <v>3</v>
      </c>
      <c r="I253" s="231">
        <f t="shared" si="76"/>
        <v>0.51</v>
      </c>
      <c r="J253" s="233" t="s">
        <v>10</v>
      </c>
    </row>
    <row r="254" spans="1:10">
      <c r="A254" s="233">
        <f>IF(LEN(B254)=0," ",COUNTA($B$30:B254))</f>
        <v>145</v>
      </c>
      <c r="B254" s="233">
        <v>10</v>
      </c>
      <c r="C254" s="234" t="s">
        <v>43</v>
      </c>
      <c r="D254" s="233" t="s">
        <v>79</v>
      </c>
      <c r="E254" s="242" t="s">
        <v>455</v>
      </c>
      <c r="F254" s="235">
        <f t="shared" si="74"/>
        <v>0.01</v>
      </c>
      <c r="G254" s="255">
        <f ca="1">Eval(E254)*F254</f>
        <v>2.8100000000000007E-2</v>
      </c>
      <c r="H254" s="236">
        <f t="shared" si="77"/>
        <v>1</v>
      </c>
      <c r="I254" s="231">
        <f t="shared" ca="1" si="76"/>
        <v>2.8100000000000007E-2</v>
      </c>
      <c r="J254" s="233" t="s">
        <v>4</v>
      </c>
    </row>
    <row r="255" spans="1:10">
      <c r="A255" s="233">
        <f>IF(LEN(B255)=0," ",COUNTA($B$30:B255))</f>
        <v>146</v>
      </c>
      <c r="B255" s="233">
        <v>11</v>
      </c>
      <c r="C255" s="234" t="s">
        <v>44</v>
      </c>
      <c r="D255" s="233" t="s">
        <v>62</v>
      </c>
      <c r="E255" s="233" t="s">
        <v>456</v>
      </c>
      <c r="F255" s="235">
        <f t="shared" si="74"/>
        <v>0.01</v>
      </c>
      <c r="G255" s="255">
        <f ca="1">Eval(E255)*F255</f>
        <v>0.13950000000000001</v>
      </c>
      <c r="H255" s="236">
        <f t="shared" si="77"/>
        <v>1</v>
      </c>
      <c r="I255" s="231">
        <f t="shared" ca="1" si="76"/>
        <v>0.13950000000000001</v>
      </c>
      <c r="J255" s="233" t="s">
        <v>4</v>
      </c>
    </row>
    <row r="256" spans="1:10">
      <c r="A256" s="233">
        <f>IF(LEN(B256)=0," ",COUNTA($B$30:B256))</f>
        <v>147</v>
      </c>
      <c r="B256" s="233">
        <v>12</v>
      </c>
      <c r="C256" s="234" t="s">
        <v>12</v>
      </c>
      <c r="D256" s="233"/>
      <c r="E256" s="243"/>
      <c r="F256" s="235"/>
      <c r="G256" s="255"/>
      <c r="H256" s="236">
        <f t="shared" si="77"/>
        <v>1</v>
      </c>
      <c r="I256" s="231">
        <f ca="1">SUM(I257:I259)</f>
        <v>0.67324000000000006</v>
      </c>
      <c r="J256" s="233" t="s">
        <v>4</v>
      </c>
    </row>
    <row r="257" spans="1:10">
      <c r="A257" s="233"/>
      <c r="B257" s="233"/>
      <c r="C257" s="237" t="s">
        <v>45</v>
      </c>
      <c r="D257" s="233" t="s">
        <v>62</v>
      </c>
      <c r="E257" s="238" t="s">
        <v>66</v>
      </c>
      <c r="F257" s="235">
        <f t="shared" ref="F257:F262" si="78">VLOOKUP(J257,$R$2:$S$22,2,0)</f>
        <v>0.01</v>
      </c>
      <c r="G257" s="255">
        <f t="shared" ref="G257:G262" ca="1" si="79">Eval(E257)*F257</f>
        <v>0.33158000000000004</v>
      </c>
      <c r="H257" s="236">
        <f t="shared" si="77"/>
        <v>1</v>
      </c>
      <c r="I257" s="231">
        <f t="shared" ref="I257:I262" ca="1" si="80">G257*H257</f>
        <v>0.33158000000000004</v>
      </c>
      <c r="J257" s="233" t="s">
        <v>4</v>
      </c>
    </row>
    <row r="258" spans="1:10" ht="15.75" customHeight="1">
      <c r="A258" s="233"/>
      <c r="B258" s="233"/>
      <c r="C258" s="237" t="s">
        <v>46</v>
      </c>
      <c r="D258" s="233" t="s">
        <v>62</v>
      </c>
      <c r="E258" s="238" t="s">
        <v>65</v>
      </c>
      <c r="F258" s="235">
        <f t="shared" si="78"/>
        <v>0.01</v>
      </c>
      <c r="G258" s="255">
        <f t="shared" ca="1" si="79"/>
        <v>0.33039999999999997</v>
      </c>
      <c r="H258" s="236">
        <f t="shared" si="77"/>
        <v>1</v>
      </c>
      <c r="I258" s="231">
        <f t="shared" ca="1" si="80"/>
        <v>0.33039999999999997</v>
      </c>
      <c r="J258" s="233" t="s">
        <v>4</v>
      </c>
    </row>
    <row r="259" spans="1:10">
      <c r="A259" s="233"/>
      <c r="B259" s="233"/>
      <c r="C259" s="237" t="s">
        <v>47</v>
      </c>
      <c r="D259" s="233" t="s">
        <v>67</v>
      </c>
      <c r="E259" s="248">
        <v>1.1259999999999999</v>
      </c>
      <c r="F259" s="235">
        <f t="shared" si="78"/>
        <v>0.01</v>
      </c>
      <c r="G259" s="255">
        <f>1.126*F259</f>
        <v>1.1259999999999999E-2</v>
      </c>
      <c r="H259" s="236">
        <f t="shared" si="77"/>
        <v>1</v>
      </c>
      <c r="I259" s="231">
        <f t="shared" si="80"/>
        <v>1.1259999999999999E-2</v>
      </c>
      <c r="J259" s="233" t="s">
        <v>4</v>
      </c>
    </row>
    <row r="260" spans="1:10">
      <c r="A260" s="233">
        <f>IF(LEN(B260)=0," ",COUNTA($B$30:B260))</f>
        <v>148</v>
      </c>
      <c r="B260" s="233">
        <v>13</v>
      </c>
      <c r="C260" s="234" t="s">
        <v>48</v>
      </c>
      <c r="D260" s="233" t="s">
        <v>69</v>
      </c>
      <c r="E260" s="242" t="s">
        <v>457</v>
      </c>
      <c r="F260" s="235">
        <f t="shared" si="78"/>
        <v>0.01</v>
      </c>
      <c r="G260" s="255">
        <f t="shared" ca="1" si="79"/>
        <v>3.6170000000000001E-2</v>
      </c>
      <c r="H260" s="236">
        <f>$I$194*3</f>
        <v>3</v>
      </c>
      <c r="I260" s="231">
        <f t="shared" ca="1" si="80"/>
        <v>0.10851</v>
      </c>
      <c r="J260" s="233" t="s">
        <v>4</v>
      </c>
    </row>
    <row r="261" spans="1:10">
      <c r="A261" s="233">
        <f>IF(LEN(B261)=0," ",COUNTA($B$30:B261))</f>
        <v>149</v>
      </c>
      <c r="B261" s="233">
        <v>14</v>
      </c>
      <c r="C261" s="234" t="s">
        <v>440</v>
      </c>
      <c r="D261" s="233" t="s">
        <v>72</v>
      </c>
      <c r="E261" s="233" t="s">
        <v>459</v>
      </c>
      <c r="F261" s="235">
        <f t="shared" si="78"/>
        <v>1</v>
      </c>
      <c r="G261" s="255">
        <f t="shared" ca="1" si="79"/>
        <v>12</v>
      </c>
      <c r="H261" s="236">
        <f>$I$194</f>
        <v>1</v>
      </c>
      <c r="I261" s="231">
        <f t="shared" ca="1" si="80"/>
        <v>12</v>
      </c>
      <c r="J261" s="233" t="s">
        <v>2</v>
      </c>
    </row>
    <row r="262" spans="1:10">
      <c r="A262" s="233">
        <f>IF(LEN(B262)=0," ",COUNTA($B$30:B262))</f>
        <v>150</v>
      </c>
      <c r="B262" s="233">
        <v>15</v>
      </c>
      <c r="C262" s="234" t="s">
        <v>124</v>
      </c>
      <c r="D262" s="233" t="s">
        <v>71</v>
      </c>
      <c r="E262" s="245" t="s">
        <v>458</v>
      </c>
      <c r="F262" s="235">
        <f t="shared" si="78"/>
        <v>1</v>
      </c>
      <c r="G262" s="255">
        <f t="shared" ca="1" si="79"/>
        <v>6.7</v>
      </c>
      <c r="H262" s="236">
        <f>$I$194</f>
        <v>1</v>
      </c>
      <c r="I262" s="231">
        <f t="shared" ca="1" si="80"/>
        <v>6.7</v>
      </c>
      <c r="J262" s="233" t="s">
        <v>2</v>
      </c>
    </row>
    <row r="263" spans="1:10">
      <c r="A263" s="229" t="s">
        <v>128</v>
      </c>
      <c r="B263" s="229"/>
      <c r="C263" s="230" t="s">
        <v>470</v>
      </c>
      <c r="D263" s="229"/>
      <c r="E263" s="229"/>
      <c r="F263" s="231"/>
      <c r="G263" s="231"/>
      <c r="H263" s="232"/>
      <c r="I263" s="231">
        <v>1</v>
      </c>
      <c r="J263" s="229" t="s">
        <v>24</v>
      </c>
    </row>
    <row r="264" spans="1:10">
      <c r="A264" s="233">
        <f>IF(LEN(B264)=0," ",COUNTA($B$30:B264))</f>
        <v>151</v>
      </c>
      <c r="B264" s="233">
        <v>1</v>
      </c>
      <c r="C264" s="234" t="s">
        <v>560</v>
      </c>
      <c r="D264" s="233"/>
      <c r="E264" s="229"/>
      <c r="F264" s="235">
        <f t="shared" ref="F264:F278" si="81">VLOOKUP(J264,$R$2:$S$22,2,0)</f>
        <v>1</v>
      </c>
      <c r="G264" s="235"/>
      <c r="H264" s="236">
        <f t="shared" ref="H264:H270" si="82">$I$194</f>
        <v>1</v>
      </c>
      <c r="I264" s="231">
        <f ca="1">SUM(I265:I266)</f>
        <v>5.1385000000000005</v>
      </c>
      <c r="J264" s="233" t="s">
        <v>5</v>
      </c>
    </row>
    <row r="265" spans="1:10" s="246" customFormat="1">
      <c r="A265" s="233"/>
      <c r="B265" s="233"/>
      <c r="C265" s="237" t="s">
        <v>342</v>
      </c>
      <c r="D265" s="233" t="s">
        <v>76</v>
      </c>
      <c r="E265" s="238" t="s">
        <v>451</v>
      </c>
      <c r="F265" s="235">
        <f t="shared" si="81"/>
        <v>1</v>
      </c>
      <c r="G265" s="235">
        <f ca="1">Eval(E265)*F265</f>
        <v>5.3100000000000005</v>
      </c>
      <c r="H265" s="236">
        <f t="shared" si="82"/>
        <v>1</v>
      </c>
      <c r="I265" s="231">
        <f ca="1">G265*H265</f>
        <v>5.3100000000000005</v>
      </c>
      <c r="J265" s="233" t="s">
        <v>5</v>
      </c>
    </row>
    <row r="266" spans="1:10">
      <c r="A266" s="233"/>
      <c r="B266" s="233"/>
      <c r="C266" s="237" t="s">
        <v>35</v>
      </c>
      <c r="D266" s="233" t="s">
        <v>55</v>
      </c>
      <c r="E266" s="239" t="s">
        <v>475</v>
      </c>
      <c r="F266" s="235">
        <f t="shared" si="81"/>
        <v>1</v>
      </c>
      <c r="G266" s="235">
        <f ca="1">Eval(E266)*F266</f>
        <v>-0.17149999999999999</v>
      </c>
      <c r="H266" s="236">
        <f t="shared" si="82"/>
        <v>1</v>
      </c>
      <c r="I266" s="231">
        <f ca="1">G266*H266</f>
        <v>-0.17149999999999999</v>
      </c>
      <c r="J266" s="233" t="s">
        <v>5</v>
      </c>
    </row>
    <row r="267" spans="1:10">
      <c r="A267" s="233">
        <f>IF(LEN(B267)=0," ",COUNTA($B$30:B267))</f>
        <v>152</v>
      </c>
      <c r="B267" s="233">
        <v>2</v>
      </c>
      <c r="C267" s="234" t="s">
        <v>437</v>
      </c>
      <c r="D267" s="233"/>
      <c r="E267" s="234"/>
      <c r="F267" s="235">
        <f t="shared" si="81"/>
        <v>1</v>
      </c>
      <c r="G267" s="235"/>
      <c r="H267" s="236">
        <f t="shared" si="82"/>
        <v>1</v>
      </c>
      <c r="I267" s="231">
        <f ca="1">SUM(I268:I269)</f>
        <v>25.198500000000003</v>
      </c>
      <c r="J267" s="233" t="s">
        <v>5</v>
      </c>
    </row>
    <row r="268" spans="1:10">
      <c r="A268" s="233"/>
      <c r="B268" s="233"/>
      <c r="C268" s="237" t="s">
        <v>344</v>
      </c>
      <c r="D268" s="233" t="s">
        <v>54</v>
      </c>
      <c r="E268" s="233" t="s">
        <v>452</v>
      </c>
      <c r="F268" s="235">
        <f t="shared" si="81"/>
        <v>1</v>
      </c>
      <c r="G268" s="235">
        <f ca="1">Eval(E268)*F268</f>
        <v>25.37</v>
      </c>
      <c r="H268" s="236">
        <f t="shared" si="82"/>
        <v>1</v>
      </c>
      <c r="I268" s="231">
        <f t="shared" ref="I268:I278" ca="1" si="83">G268*H268</f>
        <v>25.37</v>
      </c>
      <c r="J268" s="233" t="s">
        <v>5</v>
      </c>
    </row>
    <row r="269" spans="1:10">
      <c r="A269" s="233"/>
      <c r="B269" s="233"/>
      <c r="C269" s="237" t="s">
        <v>35</v>
      </c>
      <c r="D269" s="233" t="s">
        <v>55</v>
      </c>
      <c r="E269" s="239" t="s">
        <v>475</v>
      </c>
      <c r="F269" s="235">
        <f t="shared" si="81"/>
        <v>1</v>
      </c>
      <c r="G269" s="235">
        <f ca="1">Eval(E269)*F269</f>
        <v>-0.17149999999999999</v>
      </c>
      <c r="H269" s="236">
        <f t="shared" si="82"/>
        <v>1</v>
      </c>
      <c r="I269" s="231">
        <f t="shared" ca="1" si="83"/>
        <v>-0.17149999999999999</v>
      </c>
      <c r="J269" s="233" t="s">
        <v>5</v>
      </c>
    </row>
    <row r="270" spans="1:10">
      <c r="A270" s="233">
        <f>IF(LEN(B270)=0," ",COUNTA($B$30:B270))</f>
        <v>153</v>
      </c>
      <c r="B270" s="233">
        <v>3</v>
      </c>
      <c r="C270" s="234" t="s">
        <v>438</v>
      </c>
      <c r="D270" s="233" t="s">
        <v>56</v>
      </c>
      <c r="E270" s="241" t="s">
        <v>453</v>
      </c>
      <c r="F270" s="235">
        <f t="shared" si="81"/>
        <v>1</v>
      </c>
      <c r="G270" s="235">
        <f ca="1">Eval(E270)*F270</f>
        <v>13.286799999999999</v>
      </c>
      <c r="H270" s="236">
        <f t="shared" si="82"/>
        <v>1</v>
      </c>
      <c r="I270" s="231">
        <f t="shared" ca="1" si="83"/>
        <v>13.286799999999999</v>
      </c>
      <c r="J270" s="233" t="s">
        <v>5</v>
      </c>
    </row>
    <row r="271" spans="1:10">
      <c r="A271" s="233">
        <f>IF(LEN(B271)=0," ",COUNTA($B$30:B271))</f>
        <v>154</v>
      </c>
      <c r="B271" s="233">
        <v>4</v>
      </c>
      <c r="C271" s="234" t="s">
        <v>439</v>
      </c>
      <c r="D271" s="233" t="s">
        <v>57</v>
      </c>
      <c r="E271" s="242" t="s">
        <v>454</v>
      </c>
      <c r="F271" s="235">
        <f t="shared" si="81"/>
        <v>1</v>
      </c>
      <c r="G271" s="235">
        <f ca="1">Eval(E271)*F271</f>
        <v>0.42779999999999996</v>
      </c>
      <c r="H271" s="236">
        <f>$I$194*3</f>
        <v>3</v>
      </c>
      <c r="I271" s="231">
        <f t="shared" ca="1" si="83"/>
        <v>1.2833999999999999</v>
      </c>
      <c r="J271" s="233" t="s">
        <v>5</v>
      </c>
    </row>
    <row r="272" spans="1:10">
      <c r="A272" s="233">
        <f>IF(LEN(B272)=0," ",COUNTA($B$30:B272))</f>
        <v>155</v>
      </c>
      <c r="B272" s="233">
        <v>5</v>
      </c>
      <c r="C272" s="234" t="s">
        <v>39</v>
      </c>
      <c r="D272" s="333" t="s">
        <v>59</v>
      </c>
      <c r="E272" s="334"/>
      <c r="F272" s="235">
        <f t="shared" si="81"/>
        <v>1E-3</v>
      </c>
      <c r="G272" s="235">
        <v>2.7E-2</v>
      </c>
      <c r="H272" s="236">
        <f t="shared" ref="H272:H282" si="84">$I$194</f>
        <v>1</v>
      </c>
      <c r="I272" s="231">
        <f t="shared" si="83"/>
        <v>2.7E-2</v>
      </c>
      <c r="J272" s="233" t="s">
        <v>10</v>
      </c>
    </row>
    <row r="273" spans="1:10">
      <c r="A273" s="233">
        <f>IF(LEN(B273)=0," ",COUNTA($B$30:B273))</f>
        <v>156</v>
      </c>
      <c r="B273" s="233">
        <v>6</v>
      </c>
      <c r="C273" s="234" t="s">
        <v>40</v>
      </c>
      <c r="D273" s="333" t="s">
        <v>59</v>
      </c>
      <c r="E273" s="334"/>
      <c r="F273" s="235">
        <f t="shared" si="81"/>
        <v>1E-3</v>
      </c>
      <c r="G273" s="235">
        <v>0.99299999999999999</v>
      </c>
      <c r="H273" s="236">
        <f t="shared" si="84"/>
        <v>1</v>
      </c>
      <c r="I273" s="231">
        <f t="shared" si="83"/>
        <v>0.99299999999999999</v>
      </c>
      <c r="J273" s="233" t="s">
        <v>10</v>
      </c>
    </row>
    <row r="274" spans="1:10">
      <c r="A274" s="233">
        <f>IF(LEN(B274)=0," ",COUNTA($B$30:B274))</f>
        <v>157</v>
      </c>
      <c r="B274" s="233">
        <v>7</v>
      </c>
      <c r="C274" s="234" t="s">
        <v>41</v>
      </c>
      <c r="D274" s="333" t="s">
        <v>59</v>
      </c>
      <c r="E274" s="334"/>
      <c r="F274" s="235">
        <f t="shared" si="81"/>
        <v>1E-3</v>
      </c>
      <c r="G274" s="255">
        <v>2.1000000000000001E-2</v>
      </c>
      <c r="H274" s="236">
        <f t="shared" si="84"/>
        <v>1</v>
      </c>
      <c r="I274" s="231">
        <f t="shared" si="83"/>
        <v>2.1000000000000001E-2</v>
      </c>
      <c r="J274" s="233" t="s">
        <v>10</v>
      </c>
    </row>
    <row r="275" spans="1:10">
      <c r="A275" s="233">
        <f>IF(LEN(B275)=0," ",COUNTA($B$30:B275))</f>
        <v>158</v>
      </c>
      <c r="B275" s="233">
        <v>8</v>
      </c>
      <c r="C275" s="234" t="s">
        <v>42</v>
      </c>
      <c r="D275" s="333" t="s">
        <v>59</v>
      </c>
      <c r="E275" s="334"/>
      <c r="F275" s="235">
        <f t="shared" si="81"/>
        <v>1E-3</v>
      </c>
      <c r="G275" s="255">
        <v>0.84</v>
      </c>
      <c r="H275" s="236">
        <f t="shared" si="84"/>
        <v>1</v>
      </c>
      <c r="I275" s="231">
        <f t="shared" si="83"/>
        <v>0.84</v>
      </c>
      <c r="J275" s="233" t="s">
        <v>10</v>
      </c>
    </row>
    <row r="276" spans="1:10">
      <c r="A276" s="233">
        <f>IF(LEN(B276)=0," ",COUNTA($B$30:B276))</f>
        <v>159</v>
      </c>
      <c r="B276" s="233">
        <v>9</v>
      </c>
      <c r="C276" s="234" t="s">
        <v>61</v>
      </c>
      <c r="D276" s="333" t="s">
        <v>59</v>
      </c>
      <c r="E276" s="334"/>
      <c r="F276" s="235">
        <f t="shared" si="81"/>
        <v>1E-3</v>
      </c>
      <c r="G276" s="255">
        <v>0.17</v>
      </c>
      <c r="H276" s="236">
        <f>$I$194*3</f>
        <v>3</v>
      </c>
      <c r="I276" s="231">
        <f t="shared" si="83"/>
        <v>0.51</v>
      </c>
      <c r="J276" s="233" t="s">
        <v>10</v>
      </c>
    </row>
    <row r="277" spans="1:10">
      <c r="A277" s="233">
        <f>IF(LEN(B277)=0," ",COUNTA($B$30:B277))</f>
        <v>160</v>
      </c>
      <c r="B277" s="233">
        <v>10</v>
      </c>
      <c r="C277" s="234" t="s">
        <v>43</v>
      </c>
      <c r="D277" s="233" t="s">
        <v>79</v>
      </c>
      <c r="E277" s="242" t="s">
        <v>455</v>
      </c>
      <c r="F277" s="235">
        <f t="shared" si="81"/>
        <v>0.01</v>
      </c>
      <c r="G277" s="255">
        <f ca="1">Eval(E277)*F277</f>
        <v>2.8100000000000007E-2</v>
      </c>
      <c r="H277" s="236">
        <f t="shared" si="84"/>
        <v>1</v>
      </c>
      <c r="I277" s="231">
        <f t="shared" ca="1" si="83"/>
        <v>2.8100000000000007E-2</v>
      </c>
      <c r="J277" s="233" t="s">
        <v>4</v>
      </c>
    </row>
    <row r="278" spans="1:10">
      <c r="A278" s="233">
        <f>IF(LEN(B278)=0," ",COUNTA($B$30:B278))</f>
        <v>161</v>
      </c>
      <c r="B278" s="233">
        <v>11</v>
      </c>
      <c r="C278" s="234" t="s">
        <v>44</v>
      </c>
      <c r="D278" s="233" t="s">
        <v>62</v>
      </c>
      <c r="E278" s="233" t="s">
        <v>456</v>
      </c>
      <c r="F278" s="235">
        <f t="shared" si="81"/>
        <v>0.01</v>
      </c>
      <c r="G278" s="255">
        <f ca="1">Eval(E278)*F278</f>
        <v>0.13950000000000001</v>
      </c>
      <c r="H278" s="236">
        <f t="shared" si="84"/>
        <v>1</v>
      </c>
      <c r="I278" s="231">
        <f t="shared" ca="1" si="83"/>
        <v>0.13950000000000001</v>
      </c>
      <c r="J278" s="233" t="s">
        <v>4</v>
      </c>
    </row>
    <row r="279" spans="1:10">
      <c r="A279" s="233">
        <f>IF(LEN(B279)=0," ",COUNTA($B$30:B279))</f>
        <v>162</v>
      </c>
      <c r="B279" s="233">
        <v>12</v>
      </c>
      <c r="C279" s="234" t="s">
        <v>12</v>
      </c>
      <c r="D279" s="233"/>
      <c r="E279" s="243"/>
      <c r="F279" s="235"/>
      <c r="G279" s="255"/>
      <c r="H279" s="236">
        <f t="shared" si="84"/>
        <v>1</v>
      </c>
      <c r="I279" s="231">
        <f ca="1">SUM(I280:I282)</f>
        <v>0.67324000000000006</v>
      </c>
      <c r="J279" s="233" t="s">
        <v>4</v>
      </c>
    </row>
    <row r="280" spans="1:10">
      <c r="A280" s="233"/>
      <c r="B280" s="233"/>
      <c r="C280" s="237" t="s">
        <v>45</v>
      </c>
      <c r="D280" s="233" t="s">
        <v>62</v>
      </c>
      <c r="E280" s="238" t="s">
        <v>66</v>
      </c>
      <c r="F280" s="235">
        <f t="shared" ref="F280:F285" si="85">VLOOKUP(J280,$R$2:$S$22,2,0)</f>
        <v>0.01</v>
      </c>
      <c r="G280" s="255">
        <f t="shared" ref="G280:G285" ca="1" si="86">Eval(E280)*F280</f>
        <v>0.33158000000000004</v>
      </c>
      <c r="H280" s="236">
        <f t="shared" si="84"/>
        <v>1</v>
      </c>
      <c r="I280" s="231">
        <f t="shared" ref="I280:I285" ca="1" si="87">G280*H280</f>
        <v>0.33158000000000004</v>
      </c>
      <c r="J280" s="233" t="s">
        <v>4</v>
      </c>
    </row>
    <row r="281" spans="1:10">
      <c r="A281" s="233"/>
      <c r="B281" s="233"/>
      <c r="C281" s="237" t="s">
        <v>46</v>
      </c>
      <c r="D281" s="233" t="s">
        <v>62</v>
      </c>
      <c r="E281" s="238" t="s">
        <v>65</v>
      </c>
      <c r="F281" s="235">
        <f t="shared" si="85"/>
        <v>0.01</v>
      </c>
      <c r="G281" s="255">
        <f t="shared" ca="1" si="86"/>
        <v>0.33039999999999997</v>
      </c>
      <c r="H281" s="236">
        <f t="shared" si="84"/>
        <v>1</v>
      </c>
      <c r="I281" s="231">
        <f t="shared" ca="1" si="87"/>
        <v>0.33039999999999997</v>
      </c>
      <c r="J281" s="233" t="s">
        <v>4</v>
      </c>
    </row>
    <row r="282" spans="1:10">
      <c r="A282" s="233"/>
      <c r="B282" s="233"/>
      <c r="C282" s="237" t="s">
        <v>47</v>
      </c>
      <c r="D282" s="233" t="s">
        <v>67</v>
      </c>
      <c r="E282" s="248">
        <v>1.1259999999999999</v>
      </c>
      <c r="F282" s="235">
        <f t="shared" si="85"/>
        <v>0.01</v>
      </c>
      <c r="G282" s="255">
        <f>1.126*F282</f>
        <v>1.1259999999999999E-2</v>
      </c>
      <c r="H282" s="236">
        <f t="shared" si="84"/>
        <v>1</v>
      </c>
      <c r="I282" s="231">
        <f t="shared" si="87"/>
        <v>1.1259999999999999E-2</v>
      </c>
      <c r="J282" s="233" t="s">
        <v>4</v>
      </c>
    </row>
    <row r="283" spans="1:10">
      <c r="A283" s="233">
        <f>IF(LEN(B283)=0," ",COUNTA($B$30:B283))</f>
        <v>163</v>
      </c>
      <c r="B283" s="233">
        <v>13</v>
      </c>
      <c r="C283" s="234" t="s">
        <v>48</v>
      </c>
      <c r="D283" s="233" t="s">
        <v>69</v>
      </c>
      <c r="E283" s="242" t="s">
        <v>457</v>
      </c>
      <c r="F283" s="235">
        <f t="shared" si="85"/>
        <v>0.01</v>
      </c>
      <c r="G283" s="255">
        <f t="shared" ca="1" si="86"/>
        <v>3.6170000000000001E-2</v>
      </c>
      <c r="H283" s="236">
        <f>$I$194*3</f>
        <v>3</v>
      </c>
      <c r="I283" s="231">
        <f t="shared" ca="1" si="87"/>
        <v>0.10851</v>
      </c>
      <c r="J283" s="233" t="s">
        <v>4</v>
      </c>
    </row>
    <row r="284" spans="1:10">
      <c r="A284" s="233">
        <f>IF(LEN(B284)=0," ",COUNTA($B$30:B284))</f>
        <v>164</v>
      </c>
      <c r="B284" s="233">
        <v>14</v>
      </c>
      <c r="C284" s="234" t="s">
        <v>440</v>
      </c>
      <c r="D284" s="233" t="s">
        <v>72</v>
      </c>
      <c r="E284" s="233" t="s">
        <v>459</v>
      </c>
      <c r="F284" s="235">
        <f t="shared" si="85"/>
        <v>1</v>
      </c>
      <c r="G284" s="255">
        <f t="shared" ca="1" si="86"/>
        <v>12</v>
      </c>
      <c r="H284" s="236">
        <f>$I$194</f>
        <v>1</v>
      </c>
      <c r="I284" s="231">
        <f t="shared" ca="1" si="87"/>
        <v>12</v>
      </c>
      <c r="J284" s="233" t="s">
        <v>2</v>
      </c>
    </row>
    <row r="285" spans="1:10">
      <c r="A285" s="233">
        <f>IF(LEN(B285)=0," ",COUNTA($B$30:B285))</f>
        <v>165</v>
      </c>
      <c r="B285" s="233">
        <v>15</v>
      </c>
      <c r="C285" s="234" t="s">
        <v>124</v>
      </c>
      <c r="D285" s="233" t="s">
        <v>71</v>
      </c>
      <c r="E285" s="245" t="s">
        <v>458</v>
      </c>
      <c r="F285" s="235">
        <f t="shared" si="85"/>
        <v>1</v>
      </c>
      <c r="G285" s="255">
        <f t="shared" ca="1" si="86"/>
        <v>6.7</v>
      </c>
      <c r="H285" s="236">
        <f>$I$194</f>
        <v>1</v>
      </c>
      <c r="I285" s="231">
        <f t="shared" ca="1" si="87"/>
        <v>6.7</v>
      </c>
      <c r="J285" s="233" t="s">
        <v>2</v>
      </c>
    </row>
    <row r="286" spans="1:10">
      <c r="A286" s="229" t="s">
        <v>129</v>
      </c>
      <c r="B286" s="229"/>
      <c r="C286" s="230" t="s">
        <v>471</v>
      </c>
      <c r="D286" s="229"/>
      <c r="E286" s="229"/>
      <c r="F286" s="231"/>
      <c r="G286" s="231"/>
      <c r="H286" s="232"/>
      <c r="I286" s="231">
        <v>1</v>
      </c>
      <c r="J286" s="229" t="s">
        <v>24</v>
      </c>
    </row>
    <row r="287" spans="1:10">
      <c r="A287" s="233">
        <f>IF(LEN(B287)=0," ",COUNTA($B$30:B287))</f>
        <v>166</v>
      </c>
      <c r="B287" s="233">
        <v>1</v>
      </c>
      <c r="C287" s="234" t="s">
        <v>560</v>
      </c>
      <c r="D287" s="233"/>
      <c r="E287" s="229"/>
      <c r="F287" s="235">
        <f t="shared" ref="F287:F301" si="88">VLOOKUP(J287,$R$2:$S$22,2,0)</f>
        <v>1</v>
      </c>
      <c r="G287" s="235"/>
      <c r="H287" s="236">
        <f t="shared" ref="H287:H293" si="89">$I$194</f>
        <v>1</v>
      </c>
      <c r="I287" s="231">
        <f ca="1">SUM(I288:I289)</f>
        <v>5.1385000000000005</v>
      </c>
      <c r="J287" s="233" t="s">
        <v>5</v>
      </c>
    </row>
    <row r="288" spans="1:10" s="246" customFormat="1">
      <c r="A288" s="233"/>
      <c r="B288" s="233"/>
      <c r="C288" s="237" t="s">
        <v>342</v>
      </c>
      <c r="D288" s="233" t="s">
        <v>76</v>
      </c>
      <c r="E288" s="238" t="s">
        <v>451</v>
      </c>
      <c r="F288" s="235">
        <f t="shared" si="88"/>
        <v>1</v>
      </c>
      <c r="G288" s="235">
        <f ca="1">Eval(E288)*F288</f>
        <v>5.3100000000000005</v>
      </c>
      <c r="H288" s="236">
        <f t="shared" si="89"/>
        <v>1</v>
      </c>
      <c r="I288" s="231">
        <f ca="1">G288*H288</f>
        <v>5.3100000000000005</v>
      </c>
      <c r="J288" s="233" t="s">
        <v>5</v>
      </c>
    </row>
    <row r="289" spans="1:10">
      <c r="A289" s="233"/>
      <c r="B289" s="233"/>
      <c r="C289" s="237" t="s">
        <v>35</v>
      </c>
      <c r="D289" s="233" t="s">
        <v>55</v>
      </c>
      <c r="E289" s="239" t="s">
        <v>475</v>
      </c>
      <c r="F289" s="235">
        <f t="shared" si="88"/>
        <v>1</v>
      </c>
      <c r="G289" s="235">
        <f ca="1">Eval(E289)*F289</f>
        <v>-0.17149999999999999</v>
      </c>
      <c r="H289" s="236">
        <f t="shared" si="89"/>
        <v>1</v>
      </c>
      <c r="I289" s="231">
        <f ca="1">G289*H289</f>
        <v>-0.17149999999999999</v>
      </c>
      <c r="J289" s="233" t="s">
        <v>5</v>
      </c>
    </row>
    <row r="290" spans="1:10">
      <c r="A290" s="233">
        <f>IF(LEN(B290)=0," ",COUNTA($B$30:B290))</f>
        <v>167</v>
      </c>
      <c r="B290" s="233">
        <v>2</v>
      </c>
      <c r="C290" s="234" t="s">
        <v>437</v>
      </c>
      <c r="D290" s="233"/>
      <c r="E290" s="234"/>
      <c r="F290" s="235">
        <f t="shared" si="88"/>
        <v>1</v>
      </c>
      <c r="G290" s="235"/>
      <c r="H290" s="236">
        <f t="shared" si="89"/>
        <v>1</v>
      </c>
      <c r="I290" s="231">
        <f ca="1">SUM(I291:I292)</f>
        <v>25.198500000000003</v>
      </c>
      <c r="J290" s="233" t="s">
        <v>5</v>
      </c>
    </row>
    <row r="291" spans="1:10">
      <c r="A291" s="233"/>
      <c r="B291" s="233"/>
      <c r="C291" s="237" t="s">
        <v>344</v>
      </c>
      <c r="D291" s="233" t="s">
        <v>54</v>
      </c>
      <c r="E291" s="233" t="s">
        <v>452</v>
      </c>
      <c r="F291" s="235">
        <f t="shared" si="88"/>
        <v>1</v>
      </c>
      <c r="G291" s="235">
        <f ca="1">Eval(E291)*F291</f>
        <v>25.37</v>
      </c>
      <c r="H291" s="236">
        <f t="shared" si="89"/>
        <v>1</v>
      </c>
      <c r="I291" s="231">
        <f t="shared" ref="I291:I301" ca="1" si="90">G291*H291</f>
        <v>25.37</v>
      </c>
      <c r="J291" s="233" t="s">
        <v>5</v>
      </c>
    </row>
    <row r="292" spans="1:10">
      <c r="A292" s="233"/>
      <c r="B292" s="233"/>
      <c r="C292" s="237" t="s">
        <v>35</v>
      </c>
      <c r="D292" s="233" t="s">
        <v>55</v>
      </c>
      <c r="E292" s="239" t="s">
        <v>475</v>
      </c>
      <c r="F292" s="235">
        <f t="shared" si="88"/>
        <v>1</v>
      </c>
      <c r="G292" s="235">
        <f ca="1">Eval(E292)*F292</f>
        <v>-0.17149999999999999</v>
      </c>
      <c r="H292" s="236">
        <f t="shared" si="89"/>
        <v>1</v>
      </c>
      <c r="I292" s="231">
        <f t="shared" ca="1" si="90"/>
        <v>-0.17149999999999999</v>
      </c>
      <c r="J292" s="233" t="s">
        <v>5</v>
      </c>
    </row>
    <row r="293" spans="1:10">
      <c r="A293" s="233">
        <f>IF(LEN(B293)=0," ",COUNTA($B$30:B293))</f>
        <v>168</v>
      </c>
      <c r="B293" s="233">
        <v>3</v>
      </c>
      <c r="C293" s="234" t="s">
        <v>438</v>
      </c>
      <c r="D293" s="233" t="s">
        <v>56</v>
      </c>
      <c r="E293" s="241" t="s">
        <v>453</v>
      </c>
      <c r="F293" s="235">
        <f t="shared" si="88"/>
        <v>1</v>
      </c>
      <c r="G293" s="235">
        <f ca="1">Eval(E293)*F293</f>
        <v>13.286799999999999</v>
      </c>
      <c r="H293" s="236">
        <f t="shared" si="89"/>
        <v>1</v>
      </c>
      <c r="I293" s="231">
        <f t="shared" ca="1" si="90"/>
        <v>13.286799999999999</v>
      </c>
      <c r="J293" s="233" t="s">
        <v>5</v>
      </c>
    </row>
    <row r="294" spans="1:10">
      <c r="A294" s="233">
        <f>IF(LEN(B294)=0," ",COUNTA($B$30:B294))</f>
        <v>169</v>
      </c>
      <c r="B294" s="233">
        <v>4</v>
      </c>
      <c r="C294" s="234" t="s">
        <v>439</v>
      </c>
      <c r="D294" s="233" t="s">
        <v>57</v>
      </c>
      <c r="E294" s="242" t="s">
        <v>454</v>
      </c>
      <c r="F294" s="235">
        <f t="shared" si="88"/>
        <v>1</v>
      </c>
      <c r="G294" s="235">
        <f ca="1">Eval(E294)*F294</f>
        <v>0.42779999999999996</v>
      </c>
      <c r="H294" s="236">
        <f>$I$194*3</f>
        <v>3</v>
      </c>
      <c r="I294" s="231">
        <f t="shared" ca="1" si="90"/>
        <v>1.2833999999999999</v>
      </c>
      <c r="J294" s="233" t="s">
        <v>5</v>
      </c>
    </row>
    <row r="295" spans="1:10">
      <c r="A295" s="233">
        <f>IF(LEN(B295)=0," ",COUNTA($B$30:B295))</f>
        <v>170</v>
      </c>
      <c r="B295" s="233">
        <v>5</v>
      </c>
      <c r="C295" s="234" t="s">
        <v>39</v>
      </c>
      <c r="D295" s="333" t="s">
        <v>59</v>
      </c>
      <c r="E295" s="334"/>
      <c r="F295" s="235">
        <f t="shared" si="88"/>
        <v>1E-3</v>
      </c>
      <c r="G295" s="235">
        <v>2.7E-2</v>
      </c>
      <c r="H295" s="236">
        <f t="shared" ref="H295:H305" si="91">$I$194</f>
        <v>1</v>
      </c>
      <c r="I295" s="231">
        <f t="shared" si="90"/>
        <v>2.7E-2</v>
      </c>
      <c r="J295" s="233" t="s">
        <v>10</v>
      </c>
    </row>
    <row r="296" spans="1:10">
      <c r="A296" s="233">
        <f>IF(LEN(B296)=0," ",COUNTA($B$30:B296))</f>
        <v>171</v>
      </c>
      <c r="B296" s="233">
        <v>6</v>
      </c>
      <c r="C296" s="234" t="s">
        <v>40</v>
      </c>
      <c r="D296" s="333" t="s">
        <v>59</v>
      </c>
      <c r="E296" s="334"/>
      <c r="F296" s="235">
        <f t="shared" si="88"/>
        <v>1E-3</v>
      </c>
      <c r="G296" s="235">
        <v>0.99299999999999999</v>
      </c>
      <c r="H296" s="236">
        <f t="shared" si="91"/>
        <v>1</v>
      </c>
      <c r="I296" s="231">
        <f t="shared" si="90"/>
        <v>0.99299999999999999</v>
      </c>
      <c r="J296" s="233" t="s">
        <v>10</v>
      </c>
    </row>
    <row r="297" spans="1:10">
      <c r="A297" s="233">
        <f>IF(LEN(B297)=0," ",COUNTA($B$30:B297))</f>
        <v>172</v>
      </c>
      <c r="B297" s="233">
        <v>7</v>
      </c>
      <c r="C297" s="234" t="s">
        <v>41</v>
      </c>
      <c r="D297" s="333" t="s">
        <v>59</v>
      </c>
      <c r="E297" s="334"/>
      <c r="F297" s="235">
        <f t="shared" si="88"/>
        <v>1E-3</v>
      </c>
      <c r="G297" s="255">
        <v>2.1000000000000001E-2</v>
      </c>
      <c r="H297" s="236">
        <f t="shared" si="91"/>
        <v>1</v>
      </c>
      <c r="I297" s="231">
        <f t="shared" si="90"/>
        <v>2.1000000000000001E-2</v>
      </c>
      <c r="J297" s="233" t="s">
        <v>10</v>
      </c>
    </row>
    <row r="298" spans="1:10">
      <c r="A298" s="233">
        <f>IF(LEN(B298)=0," ",COUNTA($B$30:B298))</f>
        <v>173</v>
      </c>
      <c r="B298" s="233">
        <v>8</v>
      </c>
      <c r="C298" s="234" t="s">
        <v>42</v>
      </c>
      <c r="D298" s="333" t="s">
        <v>59</v>
      </c>
      <c r="E298" s="334"/>
      <c r="F298" s="235">
        <f t="shared" si="88"/>
        <v>1E-3</v>
      </c>
      <c r="G298" s="255">
        <v>0.84</v>
      </c>
      <c r="H298" s="236">
        <f t="shared" si="91"/>
        <v>1</v>
      </c>
      <c r="I298" s="231">
        <f t="shared" si="90"/>
        <v>0.84</v>
      </c>
      <c r="J298" s="233" t="s">
        <v>10</v>
      </c>
    </row>
    <row r="299" spans="1:10">
      <c r="A299" s="233">
        <f>IF(LEN(B299)=0," ",COUNTA($B$30:B299))</f>
        <v>174</v>
      </c>
      <c r="B299" s="233">
        <v>9</v>
      </c>
      <c r="C299" s="234" t="s">
        <v>61</v>
      </c>
      <c r="D299" s="333" t="s">
        <v>59</v>
      </c>
      <c r="E299" s="334"/>
      <c r="F299" s="235">
        <f t="shared" si="88"/>
        <v>1E-3</v>
      </c>
      <c r="G299" s="255">
        <v>0.17</v>
      </c>
      <c r="H299" s="236">
        <f>$I$194*3</f>
        <v>3</v>
      </c>
      <c r="I299" s="231">
        <f t="shared" si="90"/>
        <v>0.51</v>
      </c>
      <c r="J299" s="233" t="s">
        <v>10</v>
      </c>
    </row>
    <row r="300" spans="1:10">
      <c r="A300" s="233">
        <f>IF(LEN(B300)=0," ",COUNTA($B$30:B300))</f>
        <v>175</v>
      </c>
      <c r="B300" s="233">
        <v>10</v>
      </c>
      <c r="C300" s="234" t="s">
        <v>43</v>
      </c>
      <c r="D300" s="233" t="s">
        <v>79</v>
      </c>
      <c r="E300" s="242" t="s">
        <v>455</v>
      </c>
      <c r="F300" s="235">
        <f t="shared" si="88"/>
        <v>0.01</v>
      </c>
      <c r="G300" s="255">
        <f ca="1">Eval(E300)*F300</f>
        <v>2.8100000000000007E-2</v>
      </c>
      <c r="H300" s="236">
        <f t="shared" si="91"/>
        <v>1</v>
      </c>
      <c r="I300" s="231">
        <f t="shared" ca="1" si="90"/>
        <v>2.8100000000000007E-2</v>
      </c>
      <c r="J300" s="233" t="s">
        <v>4</v>
      </c>
    </row>
    <row r="301" spans="1:10">
      <c r="A301" s="233">
        <f>IF(LEN(B301)=0," ",COUNTA($B$30:B301))</f>
        <v>176</v>
      </c>
      <c r="B301" s="233">
        <v>11</v>
      </c>
      <c r="C301" s="234" t="s">
        <v>44</v>
      </c>
      <c r="D301" s="233" t="s">
        <v>62</v>
      </c>
      <c r="E301" s="233" t="s">
        <v>456</v>
      </c>
      <c r="F301" s="235">
        <f t="shared" si="88"/>
        <v>0.01</v>
      </c>
      <c r="G301" s="255">
        <f ca="1">Eval(E301)*F301</f>
        <v>0.13950000000000001</v>
      </c>
      <c r="H301" s="236">
        <f t="shared" si="91"/>
        <v>1</v>
      </c>
      <c r="I301" s="231">
        <f t="shared" ca="1" si="90"/>
        <v>0.13950000000000001</v>
      </c>
      <c r="J301" s="233" t="s">
        <v>4</v>
      </c>
    </row>
    <row r="302" spans="1:10">
      <c r="A302" s="233">
        <f>IF(LEN(B302)=0," ",COUNTA($B$30:B302))</f>
        <v>177</v>
      </c>
      <c r="B302" s="233">
        <v>12</v>
      </c>
      <c r="C302" s="234" t="s">
        <v>12</v>
      </c>
      <c r="D302" s="233"/>
      <c r="E302" s="243"/>
      <c r="F302" s="235"/>
      <c r="G302" s="255"/>
      <c r="H302" s="236">
        <f t="shared" si="91"/>
        <v>1</v>
      </c>
      <c r="I302" s="231">
        <f ca="1">SUM(I303:I305)</f>
        <v>0.67324000000000006</v>
      </c>
      <c r="J302" s="233" t="s">
        <v>4</v>
      </c>
    </row>
    <row r="303" spans="1:10">
      <c r="A303" s="233"/>
      <c r="B303" s="233"/>
      <c r="C303" s="237" t="s">
        <v>45</v>
      </c>
      <c r="D303" s="233" t="s">
        <v>62</v>
      </c>
      <c r="E303" s="238" t="s">
        <v>66</v>
      </c>
      <c r="F303" s="235">
        <f t="shared" ref="F303:F308" si="92">VLOOKUP(J303,$R$2:$S$22,2,0)</f>
        <v>0.01</v>
      </c>
      <c r="G303" s="255">
        <f t="shared" ref="G303:G308" ca="1" si="93">Eval(E303)*F303</f>
        <v>0.33158000000000004</v>
      </c>
      <c r="H303" s="236">
        <f t="shared" si="91"/>
        <v>1</v>
      </c>
      <c r="I303" s="231">
        <f t="shared" ref="I303:I308" ca="1" si="94">G303*H303</f>
        <v>0.33158000000000004</v>
      </c>
      <c r="J303" s="233" t="s">
        <v>4</v>
      </c>
    </row>
    <row r="304" spans="1:10">
      <c r="A304" s="233"/>
      <c r="B304" s="233"/>
      <c r="C304" s="237" t="s">
        <v>46</v>
      </c>
      <c r="D304" s="233" t="s">
        <v>62</v>
      </c>
      <c r="E304" s="238" t="s">
        <v>65</v>
      </c>
      <c r="F304" s="235">
        <f t="shared" si="92"/>
        <v>0.01</v>
      </c>
      <c r="G304" s="255">
        <f t="shared" ca="1" si="93"/>
        <v>0.33039999999999997</v>
      </c>
      <c r="H304" s="236">
        <f t="shared" si="91"/>
        <v>1</v>
      </c>
      <c r="I304" s="231">
        <f t="shared" ca="1" si="94"/>
        <v>0.33039999999999997</v>
      </c>
      <c r="J304" s="233" t="s">
        <v>4</v>
      </c>
    </row>
    <row r="305" spans="1:10">
      <c r="A305" s="233"/>
      <c r="B305" s="233"/>
      <c r="C305" s="237" t="s">
        <v>47</v>
      </c>
      <c r="D305" s="233" t="s">
        <v>67</v>
      </c>
      <c r="E305" s="248">
        <v>1.1259999999999999</v>
      </c>
      <c r="F305" s="235">
        <f t="shared" si="92"/>
        <v>0.01</v>
      </c>
      <c r="G305" s="255">
        <f>1.126*F305</f>
        <v>1.1259999999999999E-2</v>
      </c>
      <c r="H305" s="236">
        <f t="shared" si="91"/>
        <v>1</v>
      </c>
      <c r="I305" s="231">
        <f t="shared" si="94"/>
        <v>1.1259999999999999E-2</v>
      </c>
      <c r="J305" s="233" t="s">
        <v>4</v>
      </c>
    </row>
    <row r="306" spans="1:10">
      <c r="A306" s="233">
        <f>IF(LEN(B306)=0," ",COUNTA($B$30:B306))</f>
        <v>178</v>
      </c>
      <c r="B306" s="233">
        <v>13</v>
      </c>
      <c r="C306" s="234" t="s">
        <v>48</v>
      </c>
      <c r="D306" s="233" t="s">
        <v>69</v>
      </c>
      <c r="E306" s="242" t="s">
        <v>457</v>
      </c>
      <c r="F306" s="235">
        <f t="shared" si="92"/>
        <v>0.01</v>
      </c>
      <c r="G306" s="255">
        <f t="shared" ca="1" si="93"/>
        <v>3.6170000000000001E-2</v>
      </c>
      <c r="H306" s="236">
        <f>$I$194*3</f>
        <v>3</v>
      </c>
      <c r="I306" s="231">
        <f t="shared" ca="1" si="94"/>
        <v>0.10851</v>
      </c>
      <c r="J306" s="233" t="s">
        <v>4</v>
      </c>
    </row>
    <row r="307" spans="1:10">
      <c r="A307" s="233">
        <f>IF(LEN(B307)=0," ",COUNTA($B$30:B307))</f>
        <v>179</v>
      </c>
      <c r="B307" s="233">
        <v>14</v>
      </c>
      <c r="C307" s="234" t="s">
        <v>440</v>
      </c>
      <c r="D307" s="233" t="s">
        <v>72</v>
      </c>
      <c r="E307" s="233" t="s">
        <v>459</v>
      </c>
      <c r="F307" s="235">
        <f t="shared" si="92"/>
        <v>1</v>
      </c>
      <c r="G307" s="255">
        <f t="shared" ca="1" si="93"/>
        <v>12</v>
      </c>
      <c r="H307" s="236">
        <f>$I$194</f>
        <v>1</v>
      </c>
      <c r="I307" s="231">
        <f t="shared" ca="1" si="94"/>
        <v>12</v>
      </c>
      <c r="J307" s="233" t="s">
        <v>2</v>
      </c>
    </row>
    <row r="308" spans="1:10">
      <c r="A308" s="233">
        <f>IF(LEN(B308)=0," ",COUNTA($B$30:B308))</f>
        <v>180</v>
      </c>
      <c r="B308" s="233">
        <v>15</v>
      </c>
      <c r="C308" s="234" t="s">
        <v>124</v>
      </c>
      <c r="D308" s="233" t="s">
        <v>71</v>
      </c>
      <c r="E308" s="245" t="s">
        <v>458</v>
      </c>
      <c r="F308" s="235">
        <f t="shared" si="92"/>
        <v>1</v>
      </c>
      <c r="G308" s="255">
        <f t="shared" ca="1" si="93"/>
        <v>6.7</v>
      </c>
      <c r="H308" s="236">
        <f>$I$194</f>
        <v>1</v>
      </c>
      <c r="I308" s="231">
        <f t="shared" ca="1" si="94"/>
        <v>6.7</v>
      </c>
      <c r="J308" s="233" t="s">
        <v>2</v>
      </c>
    </row>
    <row r="309" spans="1:10">
      <c r="A309" s="229" t="s">
        <v>143</v>
      </c>
      <c r="B309" s="229"/>
      <c r="C309" s="230" t="s">
        <v>472</v>
      </c>
      <c r="D309" s="229"/>
      <c r="E309" s="229"/>
      <c r="F309" s="231"/>
      <c r="G309" s="231"/>
      <c r="H309" s="232"/>
      <c r="I309" s="231">
        <v>1</v>
      </c>
      <c r="J309" s="229" t="s">
        <v>24</v>
      </c>
    </row>
    <row r="310" spans="1:10">
      <c r="A310" s="233">
        <f>IF(LEN(B310)=0," ",COUNTA($B$30:B310))</f>
        <v>181</v>
      </c>
      <c r="B310" s="233">
        <v>1</v>
      </c>
      <c r="C310" s="234" t="s">
        <v>560</v>
      </c>
      <c r="D310" s="233"/>
      <c r="E310" s="229"/>
      <c r="F310" s="235">
        <f t="shared" ref="F310:F324" si="95">VLOOKUP(J310,$R$2:$S$22,2,0)</f>
        <v>1</v>
      </c>
      <c r="G310" s="235"/>
      <c r="H310" s="236">
        <f t="shared" ref="H310:H316" si="96">$I$194</f>
        <v>1</v>
      </c>
      <c r="I310" s="231">
        <f ca="1">SUM(I311:I312)</f>
        <v>5.2120000000000006</v>
      </c>
      <c r="J310" s="233" t="s">
        <v>5</v>
      </c>
    </row>
    <row r="311" spans="1:10">
      <c r="A311" s="233"/>
      <c r="B311" s="233"/>
      <c r="C311" s="237" t="s">
        <v>342</v>
      </c>
      <c r="D311" s="233" t="s">
        <v>76</v>
      </c>
      <c r="E311" s="238" t="s">
        <v>451</v>
      </c>
      <c r="F311" s="235">
        <f t="shared" si="95"/>
        <v>1</v>
      </c>
      <c r="G311" s="235">
        <f ca="1">Eval(E311)*F311</f>
        <v>5.3100000000000005</v>
      </c>
      <c r="H311" s="236">
        <f t="shared" si="96"/>
        <v>1</v>
      </c>
      <c r="I311" s="231">
        <f ca="1">G311*H311</f>
        <v>5.3100000000000005</v>
      </c>
      <c r="J311" s="233" t="s">
        <v>5</v>
      </c>
    </row>
    <row r="312" spans="1:10">
      <c r="A312" s="233"/>
      <c r="B312" s="233"/>
      <c r="C312" s="237" t="s">
        <v>35</v>
      </c>
      <c r="D312" s="233" t="s">
        <v>55</v>
      </c>
      <c r="E312" s="239" t="s">
        <v>493</v>
      </c>
      <c r="F312" s="235">
        <f t="shared" si="95"/>
        <v>1</v>
      </c>
      <c r="G312" s="235">
        <f ca="1">Eval(E312)*F312</f>
        <v>-9.799999999999999E-2</v>
      </c>
      <c r="H312" s="236">
        <f t="shared" si="96"/>
        <v>1</v>
      </c>
      <c r="I312" s="231">
        <f ca="1">G312*H312</f>
        <v>-9.799999999999999E-2</v>
      </c>
      <c r="J312" s="233" t="s">
        <v>5</v>
      </c>
    </row>
    <row r="313" spans="1:10">
      <c r="A313" s="233">
        <f>IF(LEN(B313)=0," ",COUNTA($B$30:B313))</f>
        <v>182</v>
      </c>
      <c r="B313" s="233">
        <v>2</v>
      </c>
      <c r="C313" s="234" t="s">
        <v>437</v>
      </c>
      <c r="D313" s="233"/>
      <c r="E313" s="234"/>
      <c r="F313" s="235">
        <f t="shared" si="95"/>
        <v>1</v>
      </c>
      <c r="G313" s="235"/>
      <c r="H313" s="236">
        <f t="shared" si="96"/>
        <v>1</v>
      </c>
      <c r="I313" s="231">
        <f ca="1">SUM(I314:I315)</f>
        <v>25.272000000000002</v>
      </c>
      <c r="J313" s="233" t="s">
        <v>5</v>
      </c>
    </row>
    <row r="314" spans="1:10">
      <c r="A314" s="233"/>
      <c r="B314" s="233"/>
      <c r="C314" s="237" t="s">
        <v>344</v>
      </c>
      <c r="D314" s="233" t="s">
        <v>54</v>
      </c>
      <c r="E314" s="233" t="s">
        <v>452</v>
      </c>
      <c r="F314" s="235">
        <f t="shared" si="95"/>
        <v>1</v>
      </c>
      <c r="G314" s="235">
        <f ca="1">Eval(E314)*F314</f>
        <v>25.37</v>
      </c>
      <c r="H314" s="236">
        <f t="shared" si="96"/>
        <v>1</v>
      </c>
      <c r="I314" s="231">
        <f t="shared" ref="I314:I324" ca="1" si="97">G314*H314</f>
        <v>25.37</v>
      </c>
      <c r="J314" s="233" t="s">
        <v>5</v>
      </c>
    </row>
    <row r="315" spans="1:10">
      <c r="A315" s="233"/>
      <c r="B315" s="233"/>
      <c r="C315" s="237" t="s">
        <v>35</v>
      </c>
      <c r="D315" s="233" t="s">
        <v>55</v>
      </c>
      <c r="E315" s="239" t="s">
        <v>493</v>
      </c>
      <c r="F315" s="235">
        <f t="shared" si="95"/>
        <v>1</v>
      </c>
      <c r="G315" s="235">
        <f ca="1">Eval(E315)*F315</f>
        <v>-9.799999999999999E-2</v>
      </c>
      <c r="H315" s="236">
        <f t="shared" si="96"/>
        <v>1</v>
      </c>
      <c r="I315" s="231">
        <f t="shared" ca="1" si="97"/>
        <v>-9.799999999999999E-2</v>
      </c>
      <c r="J315" s="233" t="s">
        <v>5</v>
      </c>
    </row>
    <row r="316" spans="1:10" s="246" customFormat="1">
      <c r="A316" s="233">
        <f>IF(LEN(B316)=0," ",COUNTA($B$30:B316))</f>
        <v>183</v>
      </c>
      <c r="B316" s="233">
        <v>3</v>
      </c>
      <c r="C316" s="234" t="s">
        <v>438</v>
      </c>
      <c r="D316" s="233" t="s">
        <v>56</v>
      </c>
      <c r="E316" s="241" t="s">
        <v>453</v>
      </c>
      <c r="F316" s="235">
        <f t="shared" si="95"/>
        <v>1</v>
      </c>
      <c r="G316" s="235">
        <f ca="1">Eval(E316)*F316</f>
        <v>13.286799999999999</v>
      </c>
      <c r="H316" s="236">
        <f t="shared" si="96"/>
        <v>1</v>
      </c>
      <c r="I316" s="231">
        <f t="shared" ca="1" si="97"/>
        <v>13.286799999999999</v>
      </c>
      <c r="J316" s="233" t="s">
        <v>5</v>
      </c>
    </row>
    <row r="317" spans="1:10">
      <c r="A317" s="233">
        <f>IF(LEN(B317)=0," ",COUNTA($B$30:B317))</f>
        <v>184</v>
      </c>
      <c r="B317" s="233">
        <v>4</v>
      </c>
      <c r="C317" s="234" t="s">
        <v>439</v>
      </c>
      <c r="D317" s="233" t="s">
        <v>57</v>
      </c>
      <c r="E317" s="242" t="s">
        <v>454</v>
      </c>
      <c r="F317" s="235">
        <f t="shared" si="95"/>
        <v>1</v>
      </c>
      <c r="G317" s="235">
        <f ca="1">Eval(E317)*F317</f>
        <v>0.42779999999999996</v>
      </c>
      <c r="H317" s="236">
        <f>$I$194*3</f>
        <v>3</v>
      </c>
      <c r="I317" s="231">
        <f t="shared" ca="1" si="97"/>
        <v>1.2833999999999999</v>
      </c>
      <c r="J317" s="233" t="s">
        <v>5</v>
      </c>
    </row>
    <row r="318" spans="1:10">
      <c r="A318" s="233">
        <f>IF(LEN(B318)=0," ",COUNTA($B$30:B318))</f>
        <v>185</v>
      </c>
      <c r="B318" s="233">
        <v>5</v>
      </c>
      <c r="C318" s="234" t="s">
        <v>39</v>
      </c>
      <c r="D318" s="333" t="s">
        <v>59</v>
      </c>
      <c r="E318" s="334"/>
      <c r="F318" s="235">
        <f>VLOOKUP(J318,$R$2:$S$22,2,0)</f>
        <v>1E-3</v>
      </c>
      <c r="G318" s="235">
        <v>2.7E-2</v>
      </c>
      <c r="H318" s="236">
        <f t="shared" ref="H318:H328" si="98">$I$194</f>
        <v>1</v>
      </c>
      <c r="I318" s="231">
        <f>G318*H318</f>
        <v>2.7E-2</v>
      </c>
      <c r="J318" s="233" t="s">
        <v>10</v>
      </c>
    </row>
    <row r="319" spans="1:10">
      <c r="A319" s="233">
        <f>IF(LEN(B319)=0," ",COUNTA($B$30:B319))</f>
        <v>186</v>
      </c>
      <c r="B319" s="233">
        <v>6</v>
      </c>
      <c r="C319" s="234" t="s">
        <v>40</v>
      </c>
      <c r="D319" s="333" t="s">
        <v>59</v>
      </c>
      <c r="E319" s="334"/>
      <c r="F319" s="235">
        <f>VLOOKUP(J319,$R$2:$S$22,2,0)</f>
        <v>1E-3</v>
      </c>
      <c r="G319" s="235">
        <v>0.99299999999999999</v>
      </c>
      <c r="H319" s="236">
        <f t="shared" si="98"/>
        <v>1</v>
      </c>
      <c r="I319" s="231">
        <f>G319*H319</f>
        <v>0.99299999999999999</v>
      </c>
      <c r="J319" s="233" t="s">
        <v>10</v>
      </c>
    </row>
    <row r="320" spans="1:10">
      <c r="A320" s="233">
        <f>IF(LEN(B320)=0," ",COUNTA($B$30:B320))</f>
        <v>187</v>
      </c>
      <c r="B320" s="233">
        <v>7</v>
      </c>
      <c r="C320" s="234" t="s">
        <v>41</v>
      </c>
      <c r="D320" s="333" t="s">
        <v>59</v>
      </c>
      <c r="E320" s="334"/>
      <c r="F320" s="235">
        <f>VLOOKUP(J320,$R$2:$S$22,2,0)</f>
        <v>1E-3</v>
      </c>
      <c r="G320" s="255">
        <v>2.1000000000000001E-2</v>
      </c>
      <c r="H320" s="236">
        <f t="shared" si="98"/>
        <v>1</v>
      </c>
      <c r="I320" s="231">
        <f>G320*H320</f>
        <v>2.1000000000000001E-2</v>
      </c>
      <c r="J320" s="233" t="s">
        <v>10</v>
      </c>
    </row>
    <row r="321" spans="1:10">
      <c r="A321" s="233">
        <f>IF(LEN(B321)=0," ",COUNTA($B$30:B321))</f>
        <v>188</v>
      </c>
      <c r="B321" s="233">
        <v>8</v>
      </c>
      <c r="C321" s="234" t="s">
        <v>42</v>
      </c>
      <c r="D321" s="333" t="s">
        <v>59</v>
      </c>
      <c r="E321" s="334"/>
      <c r="F321" s="235">
        <f>VLOOKUP(J321,$R$2:$S$22,2,0)</f>
        <v>1E-3</v>
      </c>
      <c r="G321" s="255">
        <v>0.84</v>
      </c>
      <c r="H321" s="236">
        <f t="shared" si="98"/>
        <v>1</v>
      </c>
      <c r="I321" s="231">
        <f>G321*H321</f>
        <v>0.84</v>
      </c>
      <c r="J321" s="233" t="s">
        <v>10</v>
      </c>
    </row>
    <row r="322" spans="1:10">
      <c r="A322" s="233">
        <f>IF(LEN(B322)=0," ",COUNTA($B$30:B322))</f>
        <v>189</v>
      </c>
      <c r="B322" s="233">
        <v>9</v>
      </c>
      <c r="C322" s="234" t="s">
        <v>61</v>
      </c>
      <c r="D322" s="333" t="s">
        <v>59</v>
      </c>
      <c r="E322" s="334"/>
      <c r="F322" s="235">
        <f>VLOOKUP(J322,$R$2:$S$22,2,0)</f>
        <v>1E-3</v>
      </c>
      <c r="G322" s="255">
        <v>0.17</v>
      </c>
      <c r="H322" s="236">
        <f>$I$194*3</f>
        <v>3</v>
      </c>
      <c r="I322" s="231">
        <f>G322*H322</f>
        <v>0.51</v>
      </c>
      <c r="J322" s="233" t="s">
        <v>10</v>
      </c>
    </row>
    <row r="323" spans="1:10">
      <c r="A323" s="233">
        <f>IF(LEN(B323)=0," ",COUNTA($B$30:B323))</f>
        <v>190</v>
      </c>
      <c r="B323" s="233">
        <v>10</v>
      </c>
      <c r="C323" s="234" t="s">
        <v>43</v>
      </c>
      <c r="D323" s="233" t="s">
        <v>79</v>
      </c>
      <c r="E323" s="242" t="s">
        <v>455</v>
      </c>
      <c r="F323" s="235">
        <f t="shared" si="95"/>
        <v>0.01</v>
      </c>
      <c r="G323" s="255">
        <f ca="1">Eval(E323)*F323</f>
        <v>2.8100000000000007E-2</v>
      </c>
      <c r="H323" s="236">
        <f t="shared" si="98"/>
        <v>1</v>
      </c>
      <c r="I323" s="231">
        <f t="shared" ca="1" si="97"/>
        <v>2.8100000000000007E-2</v>
      </c>
      <c r="J323" s="233" t="s">
        <v>4</v>
      </c>
    </row>
    <row r="324" spans="1:10">
      <c r="A324" s="233">
        <f>IF(LEN(B324)=0," ",COUNTA($B$30:B324))</f>
        <v>191</v>
      </c>
      <c r="B324" s="233">
        <v>11</v>
      </c>
      <c r="C324" s="234" t="s">
        <v>44</v>
      </c>
      <c r="D324" s="233" t="s">
        <v>62</v>
      </c>
      <c r="E324" s="233" t="s">
        <v>456</v>
      </c>
      <c r="F324" s="235">
        <f t="shared" si="95"/>
        <v>0.01</v>
      </c>
      <c r="G324" s="255">
        <f ca="1">Eval(E324)*F324</f>
        <v>0.13950000000000001</v>
      </c>
      <c r="H324" s="236">
        <f t="shared" si="98"/>
        <v>1</v>
      </c>
      <c r="I324" s="231">
        <f t="shared" ca="1" si="97"/>
        <v>0.13950000000000001</v>
      </c>
      <c r="J324" s="233" t="s">
        <v>4</v>
      </c>
    </row>
    <row r="325" spans="1:10">
      <c r="A325" s="233">
        <f>IF(LEN(B325)=0," ",COUNTA($B$30:B325))</f>
        <v>192</v>
      </c>
      <c r="B325" s="233">
        <v>12</v>
      </c>
      <c r="C325" s="234" t="s">
        <v>12</v>
      </c>
      <c r="D325" s="233"/>
      <c r="E325" s="243"/>
      <c r="F325" s="235"/>
      <c r="G325" s="255"/>
      <c r="H325" s="236">
        <f t="shared" si="98"/>
        <v>1</v>
      </c>
      <c r="I325" s="231">
        <f ca="1">SUM(I326:I328)</f>
        <v>0.67324000000000006</v>
      </c>
      <c r="J325" s="233" t="s">
        <v>4</v>
      </c>
    </row>
    <row r="326" spans="1:10">
      <c r="A326" s="233"/>
      <c r="B326" s="233"/>
      <c r="C326" s="237" t="s">
        <v>45</v>
      </c>
      <c r="D326" s="233" t="s">
        <v>62</v>
      </c>
      <c r="E326" s="238" t="s">
        <v>66</v>
      </c>
      <c r="F326" s="235">
        <f t="shared" ref="F326:F331" si="99">VLOOKUP(J326,$R$2:$S$22,2,0)</f>
        <v>0.01</v>
      </c>
      <c r="G326" s="255">
        <f t="shared" ref="G326:G331" ca="1" si="100">Eval(E326)*F326</f>
        <v>0.33158000000000004</v>
      </c>
      <c r="H326" s="236">
        <f t="shared" si="98"/>
        <v>1</v>
      </c>
      <c r="I326" s="231">
        <f t="shared" ref="I326:I331" ca="1" si="101">G326*H326</f>
        <v>0.33158000000000004</v>
      </c>
      <c r="J326" s="233" t="s">
        <v>4</v>
      </c>
    </row>
    <row r="327" spans="1:10">
      <c r="A327" s="233"/>
      <c r="B327" s="233"/>
      <c r="C327" s="237" t="s">
        <v>46</v>
      </c>
      <c r="D327" s="233" t="s">
        <v>62</v>
      </c>
      <c r="E327" s="238" t="s">
        <v>65</v>
      </c>
      <c r="F327" s="235">
        <f t="shared" si="99"/>
        <v>0.01</v>
      </c>
      <c r="G327" s="255">
        <f t="shared" ca="1" si="100"/>
        <v>0.33039999999999997</v>
      </c>
      <c r="H327" s="236">
        <f t="shared" si="98"/>
        <v>1</v>
      </c>
      <c r="I327" s="231">
        <f t="shared" ca="1" si="101"/>
        <v>0.33039999999999997</v>
      </c>
      <c r="J327" s="233" t="s">
        <v>4</v>
      </c>
    </row>
    <row r="328" spans="1:10">
      <c r="A328" s="233"/>
      <c r="B328" s="233"/>
      <c r="C328" s="237" t="s">
        <v>47</v>
      </c>
      <c r="D328" s="233" t="s">
        <v>67</v>
      </c>
      <c r="E328" s="248">
        <v>1.1259999999999999</v>
      </c>
      <c r="F328" s="235">
        <f t="shared" si="99"/>
        <v>0.01</v>
      </c>
      <c r="G328" s="255">
        <f>1.126*F328</f>
        <v>1.1259999999999999E-2</v>
      </c>
      <c r="H328" s="236">
        <f t="shared" si="98"/>
        <v>1</v>
      </c>
      <c r="I328" s="231">
        <f t="shared" si="101"/>
        <v>1.1259999999999999E-2</v>
      </c>
      <c r="J328" s="233" t="s">
        <v>4</v>
      </c>
    </row>
    <row r="329" spans="1:10">
      <c r="A329" s="233">
        <f>IF(LEN(B329)=0," ",COUNTA($B$30:B329))</f>
        <v>193</v>
      </c>
      <c r="B329" s="233">
        <v>13</v>
      </c>
      <c r="C329" s="234" t="s">
        <v>48</v>
      </c>
      <c r="D329" s="233" t="s">
        <v>69</v>
      </c>
      <c r="E329" s="242" t="s">
        <v>457</v>
      </c>
      <c r="F329" s="235">
        <f t="shared" si="99"/>
        <v>0.01</v>
      </c>
      <c r="G329" s="255">
        <f t="shared" ca="1" si="100"/>
        <v>3.6170000000000001E-2</v>
      </c>
      <c r="H329" s="236">
        <f>$I$194*3</f>
        <v>3</v>
      </c>
      <c r="I329" s="231">
        <f t="shared" ca="1" si="101"/>
        <v>0.10851</v>
      </c>
      <c r="J329" s="233" t="s">
        <v>4</v>
      </c>
    </row>
    <row r="330" spans="1:10">
      <c r="A330" s="233">
        <f>IF(LEN(B330)=0," ",COUNTA($B$30:B330))</f>
        <v>194</v>
      </c>
      <c r="B330" s="233">
        <v>14</v>
      </c>
      <c r="C330" s="234" t="s">
        <v>440</v>
      </c>
      <c r="D330" s="233" t="s">
        <v>72</v>
      </c>
      <c r="E330" s="233" t="s">
        <v>459</v>
      </c>
      <c r="F330" s="235">
        <f t="shared" si="99"/>
        <v>1</v>
      </c>
      <c r="G330" s="255">
        <f t="shared" ca="1" si="100"/>
        <v>12</v>
      </c>
      <c r="H330" s="236">
        <f>$I$194</f>
        <v>1</v>
      </c>
      <c r="I330" s="231">
        <f t="shared" ca="1" si="101"/>
        <v>12</v>
      </c>
      <c r="J330" s="233" t="s">
        <v>2</v>
      </c>
    </row>
    <row r="331" spans="1:10">
      <c r="A331" s="233">
        <f>IF(LEN(B331)=0," ",COUNTA($B$30:B331))</f>
        <v>195</v>
      </c>
      <c r="B331" s="233">
        <v>15</v>
      </c>
      <c r="C331" s="234" t="s">
        <v>124</v>
      </c>
      <c r="D331" s="233" t="s">
        <v>71</v>
      </c>
      <c r="E331" s="245" t="s">
        <v>458</v>
      </c>
      <c r="F331" s="235">
        <f t="shared" si="99"/>
        <v>1</v>
      </c>
      <c r="G331" s="255">
        <f t="shared" ca="1" si="100"/>
        <v>6.7</v>
      </c>
      <c r="H331" s="236">
        <f>$I$194</f>
        <v>1</v>
      </c>
      <c r="I331" s="231">
        <f t="shared" ca="1" si="101"/>
        <v>6.7</v>
      </c>
      <c r="J331" s="233" t="s">
        <v>2</v>
      </c>
    </row>
    <row r="332" spans="1:10">
      <c r="A332" s="229" t="s">
        <v>291</v>
      </c>
      <c r="B332" s="229"/>
      <c r="C332" s="230" t="s">
        <v>473</v>
      </c>
      <c r="D332" s="229"/>
      <c r="E332" s="229"/>
      <c r="F332" s="231"/>
      <c r="G332" s="231"/>
      <c r="H332" s="232"/>
      <c r="I332" s="231">
        <v>1</v>
      </c>
      <c r="J332" s="229" t="s">
        <v>24</v>
      </c>
    </row>
    <row r="333" spans="1:10">
      <c r="A333" s="233">
        <f>IF(LEN(B333)=0," ",COUNTA($B$30:B333))</f>
        <v>196</v>
      </c>
      <c r="B333" s="233">
        <v>1</v>
      </c>
      <c r="C333" s="234" t="s">
        <v>560</v>
      </c>
      <c r="D333" s="233"/>
      <c r="E333" s="229"/>
      <c r="F333" s="235">
        <f t="shared" ref="F333:F347" si="102">VLOOKUP(J333,$R$2:$S$22,2,0)</f>
        <v>1</v>
      </c>
      <c r="G333" s="235"/>
      <c r="H333" s="236">
        <f t="shared" ref="H333:H339" si="103">$I$194</f>
        <v>1</v>
      </c>
      <c r="I333" s="231">
        <f ca="1">SUM(I334:I335)</f>
        <v>3.0475000000000003</v>
      </c>
      <c r="J333" s="233" t="s">
        <v>5</v>
      </c>
    </row>
    <row r="334" spans="1:10" s="246" customFormat="1">
      <c r="A334" s="233"/>
      <c r="B334" s="233"/>
      <c r="C334" s="237" t="s">
        <v>342</v>
      </c>
      <c r="D334" s="233" t="s">
        <v>76</v>
      </c>
      <c r="E334" s="238" t="s">
        <v>494</v>
      </c>
      <c r="F334" s="235">
        <f t="shared" si="102"/>
        <v>1</v>
      </c>
      <c r="G334" s="235">
        <f ca="1">Eval(E334)*F334</f>
        <v>3.1455000000000002</v>
      </c>
      <c r="H334" s="236">
        <f t="shared" si="103"/>
        <v>1</v>
      </c>
      <c r="I334" s="231">
        <f ca="1">G334*H334</f>
        <v>3.1455000000000002</v>
      </c>
      <c r="J334" s="233" t="s">
        <v>5</v>
      </c>
    </row>
    <row r="335" spans="1:10">
      <c r="A335" s="233"/>
      <c r="B335" s="233"/>
      <c r="C335" s="237" t="s">
        <v>35</v>
      </c>
      <c r="D335" s="233" t="s">
        <v>55</v>
      </c>
      <c r="E335" s="239" t="s">
        <v>493</v>
      </c>
      <c r="F335" s="235">
        <f t="shared" si="102"/>
        <v>1</v>
      </c>
      <c r="G335" s="235">
        <f ca="1">Eval(E335)*F335</f>
        <v>-9.799999999999999E-2</v>
      </c>
      <c r="H335" s="236">
        <f t="shared" si="103"/>
        <v>1</v>
      </c>
      <c r="I335" s="231">
        <f ca="1">G335*H335</f>
        <v>-9.799999999999999E-2</v>
      </c>
      <c r="J335" s="233" t="s">
        <v>5</v>
      </c>
    </row>
    <row r="336" spans="1:10">
      <c r="A336" s="233">
        <f>IF(LEN(B336)=0," ",COUNTA($B$30:B336))</f>
        <v>197</v>
      </c>
      <c r="B336" s="233">
        <v>2</v>
      </c>
      <c r="C336" s="234" t="s">
        <v>437</v>
      </c>
      <c r="D336" s="233"/>
      <c r="E336" s="234"/>
      <c r="F336" s="235">
        <f t="shared" si="102"/>
        <v>1</v>
      </c>
      <c r="G336" s="235"/>
      <c r="H336" s="236">
        <f t="shared" si="103"/>
        <v>1</v>
      </c>
      <c r="I336" s="231">
        <f ca="1">SUM(I337:I338)</f>
        <v>14.930499999999999</v>
      </c>
      <c r="J336" s="233" t="s">
        <v>5</v>
      </c>
    </row>
    <row r="337" spans="1:10">
      <c r="A337" s="233"/>
      <c r="B337" s="233"/>
      <c r="C337" s="237" t="s">
        <v>344</v>
      </c>
      <c r="D337" s="233" t="s">
        <v>54</v>
      </c>
      <c r="E337" s="233" t="s">
        <v>495</v>
      </c>
      <c r="F337" s="235">
        <f t="shared" si="102"/>
        <v>1</v>
      </c>
      <c r="G337" s="235">
        <f ca="1">Eval(E337)*F337</f>
        <v>15.028499999999999</v>
      </c>
      <c r="H337" s="236">
        <f t="shared" si="103"/>
        <v>1</v>
      </c>
      <c r="I337" s="231">
        <f t="shared" ref="I337:I347" ca="1" si="104">G337*H337</f>
        <v>15.028499999999999</v>
      </c>
      <c r="J337" s="233" t="s">
        <v>5</v>
      </c>
    </row>
    <row r="338" spans="1:10">
      <c r="A338" s="233"/>
      <c r="B338" s="233"/>
      <c r="C338" s="237" t="s">
        <v>35</v>
      </c>
      <c r="D338" s="233" t="s">
        <v>55</v>
      </c>
      <c r="E338" s="239" t="s">
        <v>493</v>
      </c>
      <c r="F338" s="235">
        <f t="shared" si="102"/>
        <v>1</v>
      </c>
      <c r="G338" s="235">
        <f ca="1">Eval(E338)*F338</f>
        <v>-9.799999999999999E-2</v>
      </c>
      <c r="H338" s="236">
        <f t="shared" si="103"/>
        <v>1</v>
      </c>
      <c r="I338" s="231">
        <f t="shared" ca="1" si="104"/>
        <v>-9.799999999999999E-2</v>
      </c>
      <c r="J338" s="233" t="s">
        <v>5</v>
      </c>
    </row>
    <row r="339" spans="1:10">
      <c r="A339" s="233">
        <f>IF(LEN(B339)=0," ",COUNTA($B$30:B339))</f>
        <v>198</v>
      </c>
      <c r="B339" s="233">
        <v>3</v>
      </c>
      <c r="C339" s="234" t="s">
        <v>438</v>
      </c>
      <c r="D339" s="233" t="s">
        <v>56</v>
      </c>
      <c r="E339" s="241" t="s">
        <v>496</v>
      </c>
      <c r="F339" s="235">
        <f t="shared" si="102"/>
        <v>1</v>
      </c>
      <c r="G339" s="235">
        <f ca="1">Eval(E339)*F339</f>
        <v>7.8707399999999996</v>
      </c>
      <c r="H339" s="236">
        <f t="shared" si="103"/>
        <v>1</v>
      </c>
      <c r="I339" s="231">
        <f t="shared" ca="1" si="104"/>
        <v>7.8707399999999996</v>
      </c>
      <c r="J339" s="233" t="s">
        <v>5</v>
      </c>
    </row>
    <row r="340" spans="1:10">
      <c r="A340" s="233">
        <f>IF(LEN(B340)=0," ",COUNTA($B$30:B340))</f>
        <v>199</v>
      </c>
      <c r="B340" s="233">
        <v>4</v>
      </c>
      <c r="C340" s="234" t="s">
        <v>439</v>
      </c>
      <c r="D340" s="233" t="s">
        <v>57</v>
      </c>
      <c r="E340" s="242" t="s">
        <v>454</v>
      </c>
      <c r="F340" s="235">
        <f t="shared" si="102"/>
        <v>1</v>
      </c>
      <c r="G340" s="235">
        <f ca="1">Eval(E340)*F340</f>
        <v>0.42779999999999996</v>
      </c>
      <c r="H340" s="236">
        <f>$I$194*2</f>
        <v>2</v>
      </c>
      <c r="I340" s="231">
        <f t="shared" ca="1" si="104"/>
        <v>0.85559999999999992</v>
      </c>
      <c r="J340" s="233" t="s">
        <v>5</v>
      </c>
    </row>
    <row r="341" spans="1:10">
      <c r="A341" s="233">
        <f>IF(LEN(B341)=0," ",COUNTA($B$30:B341))</f>
        <v>200</v>
      </c>
      <c r="B341" s="233">
        <v>5</v>
      </c>
      <c r="C341" s="234" t="s">
        <v>39</v>
      </c>
      <c r="D341" s="333" t="s">
        <v>59</v>
      </c>
      <c r="E341" s="334"/>
      <c r="F341" s="235">
        <f t="shared" si="102"/>
        <v>1E-3</v>
      </c>
      <c r="G341" s="235">
        <v>1.6E-2</v>
      </c>
      <c r="H341" s="236">
        <f t="shared" ref="H341:H351" si="105">$I$194</f>
        <v>1</v>
      </c>
      <c r="I341" s="231">
        <f t="shared" si="104"/>
        <v>1.6E-2</v>
      </c>
      <c r="J341" s="233" t="s">
        <v>10</v>
      </c>
    </row>
    <row r="342" spans="1:10">
      <c r="A342" s="233">
        <f>IF(LEN(B342)=0," ",COUNTA($B$30:B342))</f>
        <v>201</v>
      </c>
      <c r="B342" s="233">
        <v>6</v>
      </c>
      <c r="C342" s="234" t="s">
        <v>40</v>
      </c>
      <c r="D342" s="333" t="s">
        <v>59</v>
      </c>
      <c r="E342" s="334"/>
      <c r="F342" s="235">
        <f t="shared" si="102"/>
        <v>1E-3</v>
      </c>
      <c r="G342" s="235">
        <v>0.58799999999999997</v>
      </c>
      <c r="H342" s="236">
        <f t="shared" si="105"/>
        <v>1</v>
      </c>
      <c r="I342" s="231">
        <f t="shared" si="104"/>
        <v>0.58799999999999997</v>
      </c>
      <c r="J342" s="233" t="s">
        <v>10</v>
      </c>
    </row>
    <row r="343" spans="1:10">
      <c r="A343" s="233">
        <f>IF(LEN(B343)=0," ",COUNTA($B$30:B343))</f>
        <v>202</v>
      </c>
      <c r="B343" s="233">
        <v>7</v>
      </c>
      <c r="C343" s="234" t="s">
        <v>41</v>
      </c>
      <c r="D343" s="333" t="s">
        <v>59</v>
      </c>
      <c r="E343" s="334"/>
      <c r="F343" s="235">
        <f t="shared" si="102"/>
        <v>1E-3</v>
      </c>
      <c r="G343" s="255">
        <v>1.2E-2</v>
      </c>
      <c r="H343" s="236">
        <f t="shared" si="105"/>
        <v>1</v>
      </c>
      <c r="I343" s="231">
        <f t="shared" si="104"/>
        <v>1.2E-2</v>
      </c>
      <c r="J343" s="233" t="s">
        <v>10</v>
      </c>
    </row>
    <row r="344" spans="1:10">
      <c r="A344" s="233">
        <f>IF(LEN(B344)=0," ",COUNTA($B$30:B344))</f>
        <v>203</v>
      </c>
      <c r="B344" s="233">
        <v>8</v>
      </c>
      <c r="C344" s="234" t="s">
        <v>42</v>
      </c>
      <c r="D344" s="333" t="s">
        <v>59</v>
      </c>
      <c r="E344" s="334"/>
      <c r="F344" s="235">
        <f t="shared" si="102"/>
        <v>1E-3</v>
      </c>
      <c r="G344" s="255">
        <v>0.498</v>
      </c>
      <c r="H344" s="236">
        <f t="shared" si="105"/>
        <v>1</v>
      </c>
      <c r="I344" s="231">
        <f t="shared" si="104"/>
        <v>0.498</v>
      </c>
      <c r="J344" s="233" t="s">
        <v>10</v>
      </c>
    </row>
    <row r="345" spans="1:10">
      <c r="A345" s="233">
        <f>IF(LEN(B345)=0," ",COUNTA($B$30:B345))</f>
        <v>204</v>
      </c>
      <c r="B345" s="233">
        <v>9</v>
      </c>
      <c r="C345" s="234" t="s">
        <v>61</v>
      </c>
      <c r="D345" s="333" t="s">
        <v>59</v>
      </c>
      <c r="E345" s="334"/>
      <c r="F345" s="235">
        <f t="shared" si="102"/>
        <v>1E-3</v>
      </c>
      <c r="G345" s="255">
        <v>0.10100000000000001</v>
      </c>
      <c r="H345" s="236">
        <f>$I$194*2</f>
        <v>2</v>
      </c>
      <c r="I345" s="231">
        <f t="shared" si="104"/>
        <v>0.20200000000000001</v>
      </c>
      <c r="J345" s="233" t="s">
        <v>10</v>
      </c>
    </row>
    <row r="346" spans="1:10">
      <c r="A346" s="233">
        <f>IF(LEN(B346)=0," ",COUNTA($B$30:B346))</f>
        <v>205</v>
      </c>
      <c r="B346" s="233">
        <v>10</v>
      </c>
      <c r="C346" s="234" t="s">
        <v>43</v>
      </c>
      <c r="D346" s="233" t="s">
        <v>79</v>
      </c>
      <c r="E346" s="242" t="s">
        <v>497</v>
      </c>
      <c r="F346" s="235">
        <f t="shared" si="102"/>
        <v>0.01</v>
      </c>
      <c r="G346" s="255">
        <f ca="1">Eval(E346)*F346</f>
        <v>1.848E-2</v>
      </c>
      <c r="H346" s="236">
        <f t="shared" si="105"/>
        <v>1</v>
      </c>
      <c r="I346" s="231">
        <f t="shared" ca="1" si="104"/>
        <v>1.848E-2</v>
      </c>
      <c r="J346" s="233" t="s">
        <v>4</v>
      </c>
    </row>
    <row r="347" spans="1:10">
      <c r="A347" s="233">
        <f>IF(LEN(B347)=0," ",COUNTA($B$30:B347))</f>
        <v>206</v>
      </c>
      <c r="B347" s="233">
        <v>11</v>
      </c>
      <c r="C347" s="234" t="s">
        <v>44</v>
      </c>
      <c r="D347" s="233" t="s">
        <v>62</v>
      </c>
      <c r="E347" s="233" t="s">
        <v>498</v>
      </c>
      <c r="F347" s="235">
        <f t="shared" si="102"/>
        <v>0.01</v>
      </c>
      <c r="G347" s="255">
        <f ca="1">Eval(E347)*F347</f>
        <v>9.1400000000000009E-2</v>
      </c>
      <c r="H347" s="236">
        <f t="shared" si="105"/>
        <v>1</v>
      </c>
      <c r="I347" s="231">
        <f t="shared" ca="1" si="104"/>
        <v>9.1400000000000009E-2</v>
      </c>
      <c r="J347" s="233" t="s">
        <v>4</v>
      </c>
    </row>
    <row r="348" spans="1:10">
      <c r="A348" s="233">
        <f>IF(LEN(B348)=0," ",COUNTA($B$30:B348))</f>
        <v>207</v>
      </c>
      <c r="B348" s="233">
        <v>12</v>
      </c>
      <c r="C348" s="234" t="s">
        <v>12</v>
      </c>
      <c r="D348" s="233"/>
      <c r="E348" s="243"/>
      <c r="F348" s="235"/>
      <c r="G348" s="255"/>
      <c r="H348" s="236">
        <f t="shared" si="105"/>
        <v>1</v>
      </c>
      <c r="I348" s="231">
        <f ca="1">SUM(I349:I351)</f>
        <v>0.40339900000000001</v>
      </c>
      <c r="J348" s="233" t="s">
        <v>4</v>
      </c>
    </row>
    <row r="349" spans="1:10">
      <c r="A349" s="233"/>
      <c r="B349" s="233"/>
      <c r="C349" s="237" t="s">
        <v>45</v>
      </c>
      <c r="D349" s="233" t="s">
        <v>62</v>
      </c>
      <c r="E349" s="238" t="s">
        <v>499</v>
      </c>
      <c r="F349" s="235">
        <f t="shared" ref="F349:F354" si="106">VLOOKUP(J349,$R$2:$S$22,2,0)</f>
        <v>0.01</v>
      </c>
      <c r="G349" s="255">
        <f t="shared" ref="G349:G354" ca="1" si="107">Eval(E349)*F349</f>
        <v>0.19641900000000001</v>
      </c>
      <c r="H349" s="236">
        <f t="shared" si="105"/>
        <v>1</v>
      </c>
      <c r="I349" s="231">
        <f t="shared" ref="I349:I354" ca="1" si="108">G349*H349</f>
        <v>0.19641900000000001</v>
      </c>
      <c r="J349" s="233" t="s">
        <v>4</v>
      </c>
    </row>
    <row r="350" spans="1:10">
      <c r="A350" s="233"/>
      <c r="B350" s="233"/>
      <c r="C350" s="237" t="s">
        <v>46</v>
      </c>
      <c r="D350" s="233" t="s">
        <v>62</v>
      </c>
      <c r="E350" s="238" t="s">
        <v>500</v>
      </c>
      <c r="F350" s="235">
        <f t="shared" si="106"/>
        <v>0.01</v>
      </c>
      <c r="G350" s="255">
        <f t="shared" ca="1" si="107"/>
        <v>0.19572000000000001</v>
      </c>
      <c r="H350" s="236">
        <f t="shared" si="105"/>
        <v>1</v>
      </c>
      <c r="I350" s="231">
        <f t="shared" ca="1" si="108"/>
        <v>0.19572000000000001</v>
      </c>
      <c r="J350" s="233" t="s">
        <v>4</v>
      </c>
    </row>
    <row r="351" spans="1:10">
      <c r="A351" s="233"/>
      <c r="B351" s="233"/>
      <c r="C351" s="237" t="s">
        <v>47</v>
      </c>
      <c r="D351" s="233" t="s">
        <v>67</v>
      </c>
      <c r="E351" s="248">
        <v>1.1259999999999999</v>
      </c>
      <c r="F351" s="235">
        <f t="shared" si="106"/>
        <v>0.01</v>
      </c>
      <c r="G351" s="255">
        <f>1.126*F351</f>
        <v>1.1259999999999999E-2</v>
      </c>
      <c r="H351" s="236">
        <f t="shared" si="105"/>
        <v>1</v>
      </c>
      <c r="I351" s="231">
        <f t="shared" si="108"/>
        <v>1.1259999999999999E-2</v>
      </c>
      <c r="J351" s="233" t="s">
        <v>4</v>
      </c>
    </row>
    <row r="352" spans="1:10">
      <c r="A352" s="233">
        <f>IF(LEN(B352)=0," ",COUNTA($B$30:B352))</f>
        <v>208</v>
      </c>
      <c r="B352" s="233">
        <v>13</v>
      </c>
      <c r="C352" s="234" t="s">
        <v>48</v>
      </c>
      <c r="D352" s="233" t="s">
        <v>69</v>
      </c>
      <c r="E352" s="242" t="s">
        <v>457</v>
      </c>
      <c r="F352" s="235">
        <f t="shared" si="106"/>
        <v>0.01</v>
      </c>
      <c r="G352" s="255">
        <f t="shared" ca="1" si="107"/>
        <v>3.6170000000000001E-2</v>
      </c>
      <c r="H352" s="236">
        <f>$I$194*2</f>
        <v>2</v>
      </c>
      <c r="I352" s="231">
        <f t="shared" ca="1" si="108"/>
        <v>7.2340000000000002E-2</v>
      </c>
      <c r="J352" s="233" t="s">
        <v>4</v>
      </c>
    </row>
    <row r="353" spans="1:10">
      <c r="A353" s="233">
        <f>IF(LEN(B353)=0," ",COUNTA($B$30:B353))</f>
        <v>209</v>
      </c>
      <c r="B353" s="233">
        <v>14</v>
      </c>
      <c r="C353" s="234" t="s">
        <v>440</v>
      </c>
      <c r="D353" s="233" t="s">
        <v>72</v>
      </c>
      <c r="E353" s="233" t="s">
        <v>460</v>
      </c>
      <c r="F353" s="235">
        <f t="shared" si="106"/>
        <v>1</v>
      </c>
      <c r="G353" s="255">
        <f t="shared" ca="1" si="107"/>
        <v>8</v>
      </c>
      <c r="H353" s="236">
        <f>$I$194</f>
        <v>1</v>
      </c>
      <c r="I353" s="231">
        <f t="shared" ca="1" si="108"/>
        <v>8</v>
      </c>
      <c r="J353" s="233" t="s">
        <v>2</v>
      </c>
    </row>
    <row r="354" spans="1:10">
      <c r="A354" s="233">
        <f>IF(LEN(B354)=0," ",COUNTA($B$30:B354))</f>
        <v>210</v>
      </c>
      <c r="B354" s="233">
        <v>15</v>
      </c>
      <c r="C354" s="234" t="s">
        <v>124</v>
      </c>
      <c r="D354" s="233" t="s">
        <v>71</v>
      </c>
      <c r="E354" s="245" t="s">
        <v>458</v>
      </c>
      <c r="F354" s="235">
        <f t="shared" si="106"/>
        <v>1</v>
      </c>
      <c r="G354" s="255">
        <f t="shared" ca="1" si="107"/>
        <v>6.7</v>
      </c>
      <c r="H354" s="236">
        <f>$I$194</f>
        <v>1</v>
      </c>
      <c r="I354" s="231">
        <f t="shared" ca="1" si="108"/>
        <v>6.7</v>
      </c>
      <c r="J354" s="233" t="s">
        <v>2</v>
      </c>
    </row>
    <row r="355" spans="1:10">
      <c r="A355" s="229" t="s">
        <v>550</v>
      </c>
      <c r="B355" s="229"/>
      <c r="C355" s="230" t="s">
        <v>551</v>
      </c>
      <c r="D355" s="229"/>
      <c r="E355" s="229"/>
      <c r="F355" s="231"/>
      <c r="G355" s="231"/>
      <c r="H355" s="232"/>
      <c r="I355" s="231">
        <v>1</v>
      </c>
      <c r="J355" s="229" t="s">
        <v>24</v>
      </c>
    </row>
    <row r="356" spans="1:10">
      <c r="A356" s="233">
        <f>IF(LEN(B356)=0," ",COUNTA($B$30:B356))</f>
        <v>211</v>
      </c>
      <c r="B356" s="233">
        <v>1</v>
      </c>
      <c r="C356" s="234" t="s">
        <v>560</v>
      </c>
      <c r="D356" s="233"/>
      <c r="E356" s="229"/>
      <c r="F356" s="235">
        <f t="shared" ref="F356:F370" si="109">VLOOKUP(J356,$R$2:$S$22,2,0)</f>
        <v>1</v>
      </c>
      <c r="G356" s="235"/>
      <c r="H356" s="236">
        <f t="shared" ref="H356:H362" si="110">$I$194</f>
        <v>1</v>
      </c>
      <c r="I356" s="231">
        <f ca="1">SUM(I357:I358)</f>
        <v>6.3617500000000007</v>
      </c>
      <c r="J356" s="233" t="s">
        <v>5</v>
      </c>
    </row>
    <row r="357" spans="1:10">
      <c r="A357" s="233"/>
      <c r="B357" s="233"/>
      <c r="C357" s="237" t="s">
        <v>342</v>
      </c>
      <c r="D357" s="233" t="s">
        <v>76</v>
      </c>
      <c r="E357" s="238" t="s">
        <v>553</v>
      </c>
      <c r="F357" s="235">
        <f t="shared" si="109"/>
        <v>1</v>
      </c>
      <c r="G357" s="235">
        <f ca="1">Eval(E357)*F357</f>
        <v>6.57</v>
      </c>
      <c r="H357" s="236">
        <f t="shared" si="110"/>
        <v>1</v>
      </c>
      <c r="I357" s="231">
        <f ca="1">G357*H357</f>
        <v>6.57</v>
      </c>
      <c r="J357" s="233" t="s">
        <v>5</v>
      </c>
    </row>
    <row r="358" spans="1:10">
      <c r="A358" s="233"/>
      <c r="B358" s="233"/>
      <c r="C358" s="237" t="s">
        <v>35</v>
      </c>
      <c r="D358" s="233" t="s">
        <v>55</v>
      </c>
      <c r="E358" s="239" t="s">
        <v>559</v>
      </c>
      <c r="F358" s="235">
        <f t="shared" si="109"/>
        <v>1</v>
      </c>
      <c r="G358" s="235">
        <f ca="1">Eval(E358)*F358</f>
        <v>-0.20824999999999996</v>
      </c>
      <c r="H358" s="236">
        <f t="shared" si="110"/>
        <v>1</v>
      </c>
      <c r="I358" s="231">
        <f ca="1">G358*H358</f>
        <v>-0.20824999999999996</v>
      </c>
      <c r="J358" s="233" t="s">
        <v>5</v>
      </c>
    </row>
    <row r="359" spans="1:10">
      <c r="A359" s="233">
        <f>IF(LEN(B359)=0," ",COUNTA($B$30:B359))</f>
        <v>212</v>
      </c>
      <c r="B359" s="233">
        <v>2</v>
      </c>
      <c r="C359" s="234" t="s">
        <v>437</v>
      </c>
      <c r="D359" s="233"/>
      <c r="E359" s="234"/>
      <c r="F359" s="235">
        <f t="shared" si="109"/>
        <v>1</v>
      </c>
      <c r="G359" s="235"/>
      <c r="H359" s="236">
        <f t="shared" si="110"/>
        <v>1</v>
      </c>
      <c r="I359" s="231">
        <f ca="1">SUM(I360:I361)</f>
        <v>31.181749999999997</v>
      </c>
      <c r="J359" s="233" t="s">
        <v>5</v>
      </c>
    </row>
    <row r="360" spans="1:10">
      <c r="A360" s="233"/>
      <c r="B360" s="233"/>
      <c r="C360" s="237" t="s">
        <v>344</v>
      </c>
      <c r="D360" s="233" t="s">
        <v>54</v>
      </c>
      <c r="E360" s="233" t="s">
        <v>554</v>
      </c>
      <c r="F360" s="235">
        <f t="shared" si="109"/>
        <v>1</v>
      </c>
      <c r="G360" s="235">
        <f ca="1">Eval(E360)*F360</f>
        <v>31.389999999999997</v>
      </c>
      <c r="H360" s="236">
        <f t="shared" si="110"/>
        <v>1</v>
      </c>
      <c r="I360" s="231">
        <f t="shared" ref="I360:I370" ca="1" si="111">G360*H360</f>
        <v>31.389999999999997</v>
      </c>
      <c r="J360" s="233" t="s">
        <v>5</v>
      </c>
    </row>
    <row r="361" spans="1:10">
      <c r="A361" s="233"/>
      <c r="B361" s="233"/>
      <c r="C361" s="237" t="s">
        <v>35</v>
      </c>
      <c r="D361" s="233" t="s">
        <v>55</v>
      </c>
      <c r="E361" s="239" t="s">
        <v>559</v>
      </c>
      <c r="F361" s="235">
        <f t="shared" si="109"/>
        <v>1</v>
      </c>
      <c r="G361" s="235">
        <f ca="1">Eval(E361)*F361</f>
        <v>-0.20824999999999996</v>
      </c>
      <c r="H361" s="236">
        <f t="shared" si="110"/>
        <v>1</v>
      </c>
      <c r="I361" s="231">
        <f t="shared" ca="1" si="111"/>
        <v>-0.20824999999999996</v>
      </c>
      <c r="J361" s="233" t="s">
        <v>5</v>
      </c>
    </row>
    <row r="362" spans="1:10">
      <c r="A362" s="233">
        <f>IF(LEN(B362)=0," ",COUNTA($B$30:B362))</f>
        <v>213</v>
      </c>
      <c r="B362" s="233">
        <v>3</v>
      </c>
      <c r="C362" s="234" t="s">
        <v>438</v>
      </c>
      <c r="D362" s="233" t="s">
        <v>56</v>
      </c>
      <c r="E362" s="241" t="s">
        <v>552</v>
      </c>
      <c r="F362" s="235">
        <f t="shared" si="109"/>
        <v>1</v>
      </c>
      <c r="G362" s="235">
        <f ca="1">Eval(E362)*F362</f>
        <v>16.439599999999999</v>
      </c>
      <c r="H362" s="236">
        <f t="shared" si="110"/>
        <v>1</v>
      </c>
      <c r="I362" s="231">
        <f t="shared" ca="1" si="111"/>
        <v>16.439599999999999</v>
      </c>
      <c r="J362" s="233" t="s">
        <v>5</v>
      </c>
    </row>
    <row r="363" spans="1:10">
      <c r="A363" s="233">
        <f>IF(LEN(B363)=0," ",COUNTA($B$30:B363))</f>
        <v>214</v>
      </c>
      <c r="B363" s="233">
        <v>4</v>
      </c>
      <c r="C363" s="234" t="s">
        <v>439</v>
      </c>
      <c r="D363" s="233" t="s">
        <v>57</v>
      </c>
      <c r="E363" s="242" t="s">
        <v>454</v>
      </c>
      <c r="F363" s="235">
        <f t="shared" si="109"/>
        <v>1</v>
      </c>
      <c r="G363" s="235">
        <f ca="1">Eval(E363)*F363</f>
        <v>0.42779999999999996</v>
      </c>
      <c r="H363" s="236">
        <f>$I$194*2</f>
        <v>2</v>
      </c>
      <c r="I363" s="231">
        <f t="shared" ca="1" si="111"/>
        <v>0.85559999999999992</v>
      </c>
      <c r="J363" s="233" t="s">
        <v>5</v>
      </c>
    </row>
    <row r="364" spans="1:10">
      <c r="A364" s="233">
        <f>IF(LEN(B364)=0," ",COUNTA($B$30:B364))</f>
        <v>215</v>
      </c>
      <c r="B364" s="233">
        <v>5</v>
      </c>
      <c r="C364" s="234" t="s">
        <v>39</v>
      </c>
      <c r="D364" s="333" t="s">
        <v>59</v>
      </c>
      <c r="E364" s="334"/>
      <c r="F364" s="235">
        <f t="shared" si="109"/>
        <v>1E-3</v>
      </c>
      <c r="G364" s="235">
        <v>3.3000000000000002E-2</v>
      </c>
      <c r="H364" s="236">
        <f t="shared" ref="H364:H374" si="112">$I$194</f>
        <v>1</v>
      </c>
      <c r="I364" s="231">
        <f t="shared" si="111"/>
        <v>3.3000000000000002E-2</v>
      </c>
      <c r="J364" s="233" t="s">
        <v>10</v>
      </c>
    </row>
    <row r="365" spans="1:10">
      <c r="A365" s="233">
        <f>IF(LEN(B365)=0," ",COUNTA($B$30:B365))</f>
        <v>216</v>
      </c>
      <c r="B365" s="233">
        <v>6</v>
      </c>
      <c r="C365" s="234" t="s">
        <v>40</v>
      </c>
      <c r="D365" s="333" t="s">
        <v>59</v>
      </c>
      <c r="E365" s="334"/>
      <c r="F365" s="235">
        <f t="shared" si="109"/>
        <v>1E-3</v>
      </c>
      <c r="G365" s="235">
        <v>1.2290000000000001</v>
      </c>
      <c r="H365" s="236">
        <f t="shared" si="112"/>
        <v>1</v>
      </c>
      <c r="I365" s="231">
        <f t="shared" si="111"/>
        <v>1.2290000000000001</v>
      </c>
      <c r="J365" s="233" t="s">
        <v>10</v>
      </c>
    </row>
    <row r="366" spans="1:10">
      <c r="A366" s="233">
        <f>IF(LEN(B366)=0," ",COUNTA($B$30:B366))</f>
        <v>217</v>
      </c>
      <c r="B366" s="233">
        <v>7</v>
      </c>
      <c r="C366" s="234" t="s">
        <v>41</v>
      </c>
      <c r="D366" s="333" t="s">
        <v>59</v>
      </c>
      <c r="E366" s="334"/>
      <c r="F366" s="235">
        <f t="shared" si="109"/>
        <v>1E-3</v>
      </c>
      <c r="G366" s="255">
        <v>2.5999999999999999E-2</v>
      </c>
      <c r="H366" s="236">
        <f t="shared" si="112"/>
        <v>1</v>
      </c>
      <c r="I366" s="231">
        <f t="shared" si="111"/>
        <v>2.5999999999999999E-2</v>
      </c>
      <c r="J366" s="233" t="s">
        <v>10</v>
      </c>
    </row>
    <row r="367" spans="1:10">
      <c r="A367" s="233">
        <f>IF(LEN(B367)=0," ",COUNTA($B$30:B367))</f>
        <v>218</v>
      </c>
      <c r="B367" s="233">
        <v>8</v>
      </c>
      <c r="C367" s="234" t="s">
        <v>42</v>
      </c>
      <c r="D367" s="333" t="s">
        <v>59</v>
      </c>
      <c r="E367" s="334"/>
      <c r="F367" s="235">
        <f t="shared" si="109"/>
        <v>1E-3</v>
      </c>
      <c r="G367" s="255">
        <v>1.0389999999999999</v>
      </c>
      <c r="H367" s="236">
        <f t="shared" si="112"/>
        <v>1</v>
      </c>
      <c r="I367" s="231">
        <f t="shared" si="111"/>
        <v>1.0389999999999999</v>
      </c>
      <c r="J367" s="233" t="s">
        <v>10</v>
      </c>
    </row>
    <row r="368" spans="1:10">
      <c r="A368" s="233">
        <f>IF(LEN(B368)=0," ",COUNTA($B$30:B368))</f>
        <v>219</v>
      </c>
      <c r="B368" s="233">
        <v>9</v>
      </c>
      <c r="C368" s="234" t="s">
        <v>61</v>
      </c>
      <c r="D368" s="333" t="s">
        <v>59</v>
      </c>
      <c r="E368" s="334"/>
      <c r="F368" s="235">
        <f t="shared" si="109"/>
        <v>1E-3</v>
      </c>
      <c r="G368" s="255">
        <v>0.21</v>
      </c>
      <c r="H368" s="236">
        <f>$I$194*2</f>
        <v>2</v>
      </c>
      <c r="I368" s="231">
        <f t="shared" si="111"/>
        <v>0.42</v>
      </c>
      <c r="J368" s="233" t="s">
        <v>10</v>
      </c>
    </row>
    <row r="369" spans="1:10">
      <c r="A369" s="233">
        <f>IF(LEN(B369)=0," ",COUNTA($B$30:B369))</f>
        <v>220</v>
      </c>
      <c r="B369" s="233">
        <v>10</v>
      </c>
      <c r="C369" s="234" t="s">
        <v>43</v>
      </c>
      <c r="D369" s="233" t="s">
        <v>79</v>
      </c>
      <c r="E369" s="242" t="s">
        <v>555</v>
      </c>
      <c r="F369" s="235">
        <f t="shared" si="109"/>
        <v>0.01</v>
      </c>
      <c r="G369" s="255">
        <f ca="1">Eval(E369)*F369</f>
        <v>3.3700000000000001E-2</v>
      </c>
      <c r="H369" s="236">
        <f t="shared" si="112"/>
        <v>1</v>
      </c>
      <c r="I369" s="231">
        <f t="shared" ca="1" si="111"/>
        <v>3.3700000000000001E-2</v>
      </c>
      <c r="J369" s="233" t="s">
        <v>4</v>
      </c>
    </row>
    <row r="370" spans="1:10">
      <c r="A370" s="233">
        <f>IF(LEN(B370)=0," ",COUNTA($B$30:B370))</f>
        <v>221</v>
      </c>
      <c r="B370" s="233">
        <v>11</v>
      </c>
      <c r="C370" s="234" t="s">
        <v>44</v>
      </c>
      <c r="D370" s="233" t="s">
        <v>62</v>
      </c>
      <c r="E370" s="233" t="s">
        <v>556</v>
      </c>
      <c r="F370" s="235">
        <f t="shared" si="109"/>
        <v>0.01</v>
      </c>
      <c r="G370" s="255">
        <f ca="1">Eval(E370)*F370</f>
        <v>0.16750000000000001</v>
      </c>
      <c r="H370" s="236">
        <f t="shared" si="112"/>
        <v>1</v>
      </c>
      <c r="I370" s="231">
        <f t="shared" ca="1" si="111"/>
        <v>0.16750000000000001</v>
      </c>
      <c r="J370" s="233" t="s">
        <v>4</v>
      </c>
    </row>
    <row r="371" spans="1:10">
      <c r="A371" s="233">
        <f>IF(LEN(B371)=0," ",COUNTA($B$30:B371))</f>
        <v>222</v>
      </c>
      <c r="B371" s="233">
        <v>12</v>
      </c>
      <c r="C371" s="234" t="s">
        <v>12</v>
      </c>
      <c r="D371" s="233"/>
      <c r="E371" s="243"/>
      <c r="F371" s="235"/>
      <c r="G371" s="255"/>
      <c r="H371" s="236">
        <f t="shared" si="112"/>
        <v>1</v>
      </c>
      <c r="I371" s="231">
        <f ca="1">SUM(I372:I374)</f>
        <v>0.83031999999999995</v>
      </c>
      <c r="J371" s="233" t="s">
        <v>4</v>
      </c>
    </row>
    <row r="372" spans="1:10">
      <c r="A372" s="233"/>
      <c r="B372" s="233"/>
      <c r="C372" s="237" t="s">
        <v>45</v>
      </c>
      <c r="D372" s="233" t="s">
        <v>62</v>
      </c>
      <c r="E372" s="238" t="s">
        <v>557</v>
      </c>
      <c r="F372" s="235">
        <f t="shared" ref="F372:F377" si="113">VLOOKUP(J372,$R$2:$S$22,2,0)</f>
        <v>0.01</v>
      </c>
      <c r="G372" s="255">
        <f t="shared" ref="G372:G373" ca="1" si="114">Eval(E372)*F372</f>
        <v>0.41025999999999996</v>
      </c>
      <c r="H372" s="236">
        <f t="shared" si="112"/>
        <v>1</v>
      </c>
      <c r="I372" s="231">
        <f t="shared" ref="I372:I377" ca="1" si="115">G372*H372</f>
        <v>0.41025999999999996</v>
      </c>
      <c r="J372" s="233" t="s">
        <v>4</v>
      </c>
    </row>
    <row r="373" spans="1:10">
      <c r="A373" s="233"/>
      <c r="B373" s="233"/>
      <c r="C373" s="237" t="s">
        <v>46</v>
      </c>
      <c r="D373" s="233" t="s">
        <v>62</v>
      </c>
      <c r="E373" s="238" t="s">
        <v>558</v>
      </c>
      <c r="F373" s="235">
        <f t="shared" si="113"/>
        <v>0.01</v>
      </c>
      <c r="G373" s="255">
        <f t="shared" ca="1" si="114"/>
        <v>0.40879999999999994</v>
      </c>
      <c r="H373" s="236">
        <f t="shared" si="112"/>
        <v>1</v>
      </c>
      <c r="I373" s="231">
        <f t="shared" ca="1" si="115"/>
        <v>0.40879999999999994</v>
      </c>
      <c r="J373" s="233" t="s">
        <v>4</v>
      </c>
    </row>
    <row r="374" spans="1:10">
      <c r="A374" s="233"/>
      <c r="B374" s="233"/>
      <c r="C374" s="237" t="s">
        <v>47</v>
      </c>
      <c r="D374" s="233" t="s">
        <v>67</v>
      </c>
      <c r="E374" s="248">
        <v>1.1259999999999999</v>
      </c>
      <c r="F374" s="235">
        <f t="shared" si="113"/>
        <v>0.01</v>
      </c>
      <c r="G374" s="255">
        <f>1.126*F374</f>
        <v>1.1259999999999999E-2</v>
      </c>
      <c r="H374" s="236">
        <f t="shared" si="112"/>
        <v>1</v>
      </c>
      <c r="I374" s="231">
        <f t="shared" si="115"/>
        <v>1.1259999999999999E-2</v>
      </c>
      <c r="J374" s="233" t="s">
        <v>4</v>
      </c>
    </row>
    <row r="375" spans="1:10">
      <c r="A375" s="233">
        <f>IF(LEN(B375)=0," ",COUNTA($B$30:B375))</f>
        <v>223</v>
      </c>
      <c r="B375" s="233">
        <v>13</v>
      </c>
      <c r="C375" s="234" t="s">
        <v>48</v>
      </c>
      <c r="D375" s="233" t="s">
        <v>69</v>
      </c>
      <c r="E375" s="242" t="s">
        <v>457</v>
      </c>
      <c r="F375" s="235">
        <f t="shared" si="113"/>
        <v>0.01</v>
      </c>
      <c r="G375" s="255">
        <f t="shared" ref="G375:G377" ca="1" si="116">Eval(E375)*F375</f>
        <v>3.6170000000000001E-2</v>
      </c>
      <c r="H375" s="236">
        <f>$I$194*2</f>
        <v>2</v>
      </c>
      <c r="I375" s="231">
        <f t="shared" ca="1" si="115"/>
        <v>7.2340000000000002E-2</v>
      </c>
      <c r="J375" s="233" t="s">
        <v>4</v>
      </c>
    </row>
    <row r="376" spans="1:10">
      <c r="A376" s="233">
        <f>IF(LEN(B376)=0," ",COUNTA($B$30:B376))</f>
        <v>224</v>
      </c>
      <c r="B376" s="233">
        <v>14</v>
      </c>
      <c r="C376" s="234" t="s">
        <v>440</v>
      </c>
      <c r="D376" s="233" t="s">
        <v>72</v>
      </c>
      <c r="E376" s="233" t="s">
        <v>442</v>
      </c>
      <c r="F376" s="235">
        <f t="shared" si="113"/>
        <v>1</v>
      </c>
      <c r="G376" s="255">
        <f t="shared" ca="1" si="116"/>
        <v>15</v>
      </c>
      <c r="H376" s="236">
        <f>$I$194</f>
        <v>1</v>
      </c>
      <c r="I376" s="231">
        <f t="shared" ca="1" si="115"/>
        <v>15</v>
      </c>
      <c r="J376" s="233" t="s">
        <v>2</v>
      </c>
    </row>
    <row r="377" spans="1:10">
      <c r="A377" s="233">
        <f>IF(LEN(B377)=0," ",COUNTA($B$30:B377))</f>
        <v>225</v>
      </c>
      <c r="B377" s="233">
        <v>15</v>
      </c>
      <c r="C377" s="234" t="s">
        <v>124</v>
      </c>
      <c r="D377" s="233" t="s">
        <v>71</v>
      </c>
      <c r="E377" s="245" t="s">
        <v>458</v>
      </c>
      <c r="F377" s="235">
        <f t="shared" si="113"/>
        <v>1</v>
      </c>
      <c r="G377" s="255">
        <f t="shared" ca="1" si="116"/>
        <v>6.7</v>
      </c>
      <c r="H377" s="236">
        <f>$I$194</f>
        <v>1</v>
      </c>
      <c r="I377" s="231">
        <f t="shared" ca="1" si="115"/>
        <v>6.7</v>
      </c>
      <c r="J377" s="233" t="s">
        <v>2</v>
      </c>
    </row>
    <row r="380" spans="1:10">
      <c r="A380" s="229" t="s">
        <v>253</v>
      </c>
      <c r="B380" s="233"/>
      <c r="C380" s="296" t="s">
        <v>290</v>
      </c>
      <c r="D380" s="297"/>
      <c r="E380" s="298"/>
    </row>
    <row r="381" spans="1:10">
      <c r="A381" s="229" t="s">
        <v>291</v>
      </c>
      <c r="B381" s="233">
        <v>1</v>
      </c>
      <c r="C381" s="230" t="s">
        <v>11</v>
      </c>
      <c r="D381" s="230" t="s">
        <v>292</v>
      </c>
      <c r="E381" s="229" t="s">
        <v>9</v>
      </c>
    </row>
    <row r="382" spans="1:10">
      <c r="A382" s="233">
        <f>IF(LEN(B382)=0," ",COUNTA($B$30:B382))</f>
        <v>227</v>
      </c>
      <c r="B382" s="233">
        <v>2</v>
      </c>
      <c r="C382" s="234" t="s">
        <v>560</v>
      </c>
      <c r="D382" s="253">
        <f ca="1">ROUND(SUM(I31,I57,I80,I103,I126,I149,I172,I195,I218,I241,I264,I287,I310,I333,I356),3)</f>
        <v>206.46</v>
      </c>
      <c r="E382" s="253" t="s">
        <v>5</v>
      </c>
    </row>
    <row r="383" spans="1:10">
      <c r="A383" s="233">
        <f>IF(LEN(B383)=0," ",COUNTA($B$30:B383))</f>
        <v>228</v>
      </c>
      <c r="B383" s="233">
        <v>3</v>
      </c>
      <c r="C383" s="234" t="s">
        <v>437</v>
      </c>
      <c r="D383" s="253">
        <f ca="1">ROUND(SUM(I34,I60,I83,I106,I129,I152,I175,I198,I221,I244,I267,I290,I313,I336,I359),3)</f>
        <v>1011.825</v>
      </c>
      <c r="E383" s="253" t="s">
        <v>5</v>
      </c>
    </row>
    <row r="384" spans="1:10">
      <c r="A384" s="233">
        <f>IF(LEN(B384)=0," ",COUNTA($B$30:B384))</f>
        <v>229</v>
      </c>
      <c r="B384" s="233">
        <v>4</v>
      </c>
      <c r="C384" s="234" t="s">
        <v>438</v>
      </c>
      <c r="D384" s="253">
        <f ca="1">ROUND(SUM(I37,I63,I86,I109,I132,I155,I178,I201,I224,I247,I270,I293,I316,I339,I362),3)</f>
        <v>524.01499999999999</v>
      </c>
      <c r="E384" s="253" t="s">
        <v>5</v>
      </c>
    </row>
    <row r="385" spans="1:5">
      <c r="A385" s="233">
        <f>IF(LEN(B385)=0," ",COUNTA($B$30:B385))</f>
        <v>230</v>
      </c>
      <c r="B385" s="233">
        <v>5</v>
      </c>
      <c r="C385" s="234" t="s">
        <v>439</v>
      </c>
      <c r="D385" s="253">
        <f t="shared" ref="D385:D393" ca="1" si="117">ROUND(SUM(I40,I64,I87,I110,I133,I156,I179,I202,I225,I248,I271,I294,I317,I340,I363),3)</f>
        <v>50.48</v>
      </c>
      <c r="E385" s="253" t="s">
        <v>5</v>
      </c>
    </row>
    <row r="386" spans="1:5">
      <c r="A386" s="233">
        <f>IF(LEN(B386)=0," ",COUNTA($B$30:B386))</f>
        <v>231</v>
      </c>
      <c r="B386" s="233">
        <v>6</v>
      </c>
      <c r="C386" s="234" t="s">
        <v>39</v>
      </c>
      <c r="D386" s="253">
        <f t="shared" si="117"/>
        <v>1.077</v>
      </c>
      <c r="E386" s="253" t="s">
        <v>10</v>
      </c>
    </row>
    <row r="387" spans="1:5">
      <c r="A387" s="233">
        <f>IF(LEN(B387)=0," ",COUNTA($B$30:B387))</f>
        <v>232</v>
      </c>
      <c r="B387" s="233">
        <v>7</v>
      </c>
      <c r="C387" s="234" t="s">
        <v>40</v>
      </c>
      <c r="D387" s="253">
        <f t="shared" si="117"/>
        <v>39.850999999999999</v>
      </c>
      <c r="E387" s="253" t="s">
        <v>10</v>
      </c>
    </row>
    <row r="388" spans="1:5">
      <c r="A388" s="233">
        <f>IF(LEN(B388)=0," ",COUNTA($B$30:B388))</f>
        <v>233</v>
      </c>
      <c r="B388" s="233">
        <v>8</v>
      </c>
      <c r="C388" s="234" t="s">
        <v>41</v>
      </c>
      <c r="D388" s="253">
        <f t="shared" si="117"/>
        <v>0.84599999999999997</v>
      </c>
      <c r="E388" s="253" t="s">
        <v>10</v>
      </c>
    </row>
    <row r="389" spans="1:5">
      <c r="A389" s="233">
        <f>IF(LEN(B389)=0," ",COUNTA($B$30:B389))</f>
        <v>234</v>
      </c>
      <c r="B389" s="233">
        <v>9</v>
      </c>
      <c r="C389" s="234" t="s">
        <v>42</v>
      </c>
      <c r="D389" s="253">
        <f t="shared" si="117"/>
        <v>33.731999999999999</v>
      </c>
      <c r="E389" s="253" t="s">
        <v>10</v>
      </c>
    </row>
    <row r="390" spans="1:5">
      <c r="A390" s="233">
        <f>IF(LEN(B390)=0," ",COUNTA($B$30:B390))</f>
        <v>235</v>
      </c>
      <c r="B390" s="233">
        <v>10</v>
      </c>
      <c r="C390" s="234" t="s">
        <v>61</v>
      </c>
      <c r="D390" s="253">
        <f t="shared" si="117"/>
        <v>20.369</v>
      </c>
      <c r="E390" s="253" t="s">
        <v>10</v>
      </c>
    </row>
    <row r="391" spans="1:5">
      <c r="A391" s="233">
        <f>IF(LEN(B391)=0," ",COUNTA($B$30:B391))</f>
        <v>236</v>
      </c>
      <c r="B391" s="233">
        <v>11</v>
      </c>
      <c r="C391" s="234" t="s">
        <v>43</v>
      </c>
      <c r="D391" s="253">
        <f t="shared" ca="1" si="117"/>
        <v>1.1279999999999999</v>
      </c>
      <c r="E391" s="253" t="s">
        <v>4</v>
      </c>
    </row>
    <row r="392" spans="1:5">
      <c r="A392" s="233">
        <f>IF(LEN(B392)=0," ",COUNTA($B$30:B392))</f>
        <v>237</v>
      </c>
      <c r="B392" s="233">
        <v>12</v>
      </c>
      <c r="C392" s="234" t="s">
        <v>44</v>
      </c>
      <c r="D392" s="253">
        <f t="shared" ca="1" si="117"/>
        <v>5.5970000000000004</v>
      </c>
      <c r="E392" s="253" t="s">
        <v>4</v>
      </c>
    </row>
    <row r="393" spans="1:5">
      <c r="A393" s="233">
        <f>IF(LEN(B393)=0," ",COUNTA($B$30:B393))</f>
        <v>238</v>
      </c>
      <c r="B393" s="233">
        <v>13</v>
      </c>
      <c r="C393" s="234" t="s">
        <v>12</v>
      </c>
      <c r="D393" s="253">
        <f t="shared" ca="1" si="117"/>
        <v>26.988</v>
      </c>
      <c r="E393" s="253" t="s">
        <v>4</v>
      </c>
    </row>
    <row r="394" spans="1:5">
      <c r="A394" s="233">
        <f>IF(LEN(B394)=0," ",COUNTA($B$30:B394))</f>
        <v>239</v>
      </c>
      <c r="B394" s="233">
        <v>14</v>
      </c>
      <c r="C394" s="234" t="s">
        <v>48</v>
      </c>
      <c r="D394" s="253">
        <f ca="1">ROUND(SUM(I53,I76,I99,I122,I145,I168,I191,I214,I237,I260,I283,I306,I329,I352,I375),3)</f>
        <v>4.2679999999999998</v>
      </c>
      <c r="E394" s="253" t="s">
        <v>4</v>
      </c>
    </row>
    <row r="395" spans="1:5">
      <c r="A395" s="233">
        <f>IF(LEN(B395)=0," ",COUNTA($B$30:B395))</f>
        <v>240</v>
      </c>
      <c r="B395" s="233">
        <v>15</v>
      </c>
      <c r="C395" s="234" t="s">
        <v>440</v>
      </c>
      <c r="D395" s="253">
        <f ca="1">ROUND(SUM(I54,I77,I100,I123,I146,I169,I192,I215,I238,I261,I284,I307,I330,I353,I376),3)</f>
        <v>483</v>
      </c>
      <c r="E395" s="253" t="s">
        <v>2</v>
      </c>
    </row>
    <row r="396" spans="1:5">
      <c r="A396" s="233">
        <f>IF(LEN(B396)=0," ",COUNTA($B$30:B396))</f>
        <v>241</v>
      </c>
      <c r="B396" s="233">
        <v>16</v>
      </c>
      <c r="C396" s="234" t="s">
        <v>124</v>
      </c>
      <c r="D396" s="253">
        <f ca="1">ROUND(SUM(I55,I78,I101,I124,I147,I170,I193,I216,I239,I262,I285,I308,I331,I354,I377),3)</f>
        <v>268</v>
      </c>
      <c r="E396" s="253" t="s">
        <v>2</v>
      </c>
    </row>
    <row r="397" spans="1:5">
      <c r="A397" s="233">
        <f>IF(LEN(B397)=0," ",COUNTA($B$30:B397))</f>
        <v>242</v>
      </c>
      <c r="B397" s="233">
        <v>17</v>
      </c>
      <c r="C397" s="234" t="s">
        <v>444</v>
      </c>
      <c r="D397" s="253">
        <f ca="1">ROUND(SUM(G54,G77,G100,G123,G146,G169,G192,G215,G238,G261,G284,G307,G330,G353,G376),3)</f>
        <v>183</v>
      </c>
      <c r="E397" s="253" t="s">
        <v>21</v>
      </c>
    </row>
    <row r="398" spans="1:5">
      <c r="A398" s="233">
        <f>IF(LEN(B398)=0," ",COUNTA($B$30:B398))</f>
        <v>243</v>
      </c>
      <c r="B398" s="233">
        <v>18</v>
      </c>
      <c r="C398" s="234" t="s">
        <v>445</v>
      </c>
      <c r="D398" s="253">
        <f ca="1">ROUND(D397*0.07693/100,3)</f>
        <v>0.14099999999999999</v>
      </c>
      <c r="E398" s="253" t="s">
        <v>4</v>
      </c>
    </row>
  </sheetData>
  <mergeCells count="80">
    <mergeCell ref="D364:E364"/>
    <mergeCell ref="D365:E365"/>
    <mergeCell ref="D366:E366"/>
    <mergeCell ref="D367:E367"/>
    <mergeCell ref="D368:E368"/>
    <mergeCell ref="D344:E344"/>
    <mergeCell ref="D345:E345"/>
    <mergeCell ref="D276:E276"/>
    <mergeCell ref="D272:E272"/>
    <mergeCell ref="D273:E273"/>
    <mergeCell ref="D274:E274"/>
    <mergeCell ref="D343:E343"/>
    <mergeCell ref="D296:E296"/>
    <mergeCell ref="D297:E297"/>
    <mergeCell ref="D298:E298"/>
    <mergeCell ref="D299:E299"/>
    <mergeCell ref="D318:E318"/>
    <mergeCell ref="D319:E319"/>
    <mergeCell ref="D320:E320"/>
    <mergeCell ref="D321:E321"/>
    <mergeCell ref="D322:E322"/>
    <mergeCell ref="D341:E341"/>
    <mergeCell ref="D342:E342"/>
    <mergeCell ref="D252:E252"/>
    <mergeCell ref="D253:E253"/>
    <mergeCell ref="D229:E229"/>
    <mergeCell ref="D230:E230"/>
    <mergeCell ref="D275:E275"/>
    <mergeCell ref="D295:E295"/>
    <mergeCell ref="D251:E251"/>
    <mergeCell ref="D250:E250"/>
    <mergeCell ref="D249:E249"/>
    <mergeCell ref="D205:E205"/>
    <mergeCell ref="D206:E206"/>
    <mergeCell ref="D207:E207"/>
    <mergeCell ref="D226:E226"/>
    <mergeCell ref="D227:E227"/>
    <mergeCell ref="D228:E228"/>
    <mergeCell ref="D160:E160"/>
    <mergeCell ref="D161:E161"/>
    <mergeCell ref="C26:J26"/>
    <mergeCell ref="C27:J27"/>
    <mergeCell ref="D181:E181"/>
    <mergeCell ref="D182:E182"/>
    <mergeCell ref="D183:E183"/>
    <mergeCell ref="D184:E184"/>
    <mergeCell ref="D203:E203"/>
    <mergeCell ref="D204:E204"/>
    <mergeCell ref="D180:E180"/>
    <mergeCell ref="D138:E138"/>
    <mergeCell ref="D91:E91"/>
    <mergeCell ref="D92:E92"/>
    <mergeCell ref="D113:E113"/>
    <mergeCell ref="A25:J25"/>
    <mergeCell ref="D90:E90"/>
    <mergeCell ref="D42:E42"/>
    <mergeCell ref="D43:E43"/>
    <mergeCell ref="D44:E44"/>
    <mergeCell ref="D45:E45"/>
    <mergeCell ref="D65:E65"/>
    <mergeCell ref="D66:E66"/>
    <mergeCell ref="D67:E67"/>
    <mergeCell ref="D68:E68"/>
    <mergeCell ref="D69:E69"/>
    <mergeCell ref="D88:E88"/>
    <mergeCell ref="D89:E89"/>
    <mergeCell ref="D159:E159"/>
    <mergeCell ref="A28:I28"/>
    <mergeCell ref="D29:E29"/>
    <mergeCell ref="D41:E41"/>
    <mergeCell ref="D135:E135"/>
    <mergeCell ref="D136:E136"/>
    <mergeCell ref="D137:E137"/>
    <mergeCell ref="D157:E157"/>
    <mergeCell ref="D158:E158"/>
    <mergeCell ref="D114:E114"/>
    <mergeCell ref="D115:E115"/>
    <mergeCell ref="D111:E111"/>
    <mergeCell ref="D112:E112"/>
    <mergeCell ref="D134:E134"/>
  </mergeCells>
  <conditionalFormatting sqref="C82:C97 A56:J57 C80 F80:J80 A38:B39 D125:J125 A210:J210 A208:D209 F208:J209 A217:J217 A211:D212 F211:J212 A240:J240 A218:C235 F218:J235 A241:C258 F260:J262 A260:C262 F237:J239 A237:C239 F214:J216 A214:D216 F99:J101 A99:C101 C79:J79 A76:B97 A195:J196 F241:J258 A198:J199 A197:D197 F197:J197 A201:J207 A200:D200 F200:J200 A31:J37 A40:J49 A50:H50 J50 A53:H55 J53:J55 A60:J60 A58:H59 J58:J59 A72:J72 A61:H71 J61:J71 A73:H74 J73:J74 C76:H78 J76:J78 F83:J83 F81:H82 J81:J82 F86:J97 F84:H85 J84:J85 A380:A398 B380:B397 C381:D381 C380 C383:C387 C394:C397 C389:C390">
    <cfRule type="expression" dxfId="230" priority="137">
      <formula>$A31=""</formula>
    </cfRule>
  </conditionalFormatting>
  <conditionalFormatting sqref="C81">
    <cfRule type="expression" dxfId="229" priority="136">
      <formula>$A81=""</formula>
    </cfRule>
  </conditionalFormatting>
  <conditionalFormatting sqref="A126:C143 A125:B125 A149:C166 A148:B148 D148:J148 A172:C189 A171:B171 D171:J171 A194:B194 D194:J194 F126:J133 F149:J156 F172:J179 F191:J193 A191:C193 F168:J170 A168:C170 F145:J147 A145:C147 F139:J143 F134:F138 H134:J138 F162:J166 F157:F161 H157:J161 F185:J189 F180:F184 H180:J184">
    <cfRule type="expression" dxfId="228" priority="141">
      <formula>$A125=""</formula>
    </cfRule>
  </conditionalFormatting>
  <conditionalFormatting sqref="C388 C391">
    <cfRule type="expression" dxfId="227" priority="138">
      <formula>$A34=""</formula>
    </cfRule>
  </conditionalFormatting>
  <conditionalFormatting sqref="C125">
    <cfRule type="expression" dxfId="226" priority="124">
      <formula>$A125=""</formula>
    </cfRule>
  </conditionalFormatting>
  <conditionalFormatting sqref="C148">
    <cfRule type="expression" dxfId="225" priority="123">
      <formula>$A148=""</formula>
    </cfRule>
  </conditionalFormatting>
  <conditionalFormatting sqref="C171">
    <cfRule type="expression" dxfId="224" priority="122">
      <formula>$A171=""</formula>
    </cfRule>
  </conditionalFormatting>
  <conditionalFormatting sqref="C194">
    <cfRule type="expression" dxfId="223" priority="121">
      <formula>$A194=""</formula>
    </cfRule>
  </conditionalFormatting>
  <conditionalFormatting sqref="A286:J286 A264:C281 F264:J271 A309:J309 A287:C304 F287:J294 A310:C327 F310:J317 F329:J331 A329:C331 F306:J308 A306:C308 F283:J285 A283:C285 F277:J281 F272:F276 H272:J276 F300:J304 F295:F299 H295:J299 F323:J327 F318:F322 H318:J322">
    <cfRule type="expression" dxfId="222" priority="119">
      <formula>$A264=""</formula>
    </cfRule>
  </conditionalFormatting>
  <conditionalFormatting sqref="A263:B263 D263:J263">
    <cfRule type="expression" dxfId="221" priority="120">
      <formula>$A263=""</formula>
    </cfRule>
  </conditionalFormatting>
  <conditionalFormatting sqref="C263">
    <cfRule type="expression" dxfId="220" priority="118">
      <formula>$A263=""</formula>
    </cfRule>
  </conditionalFormatting>
  <conditionalFormatting sqref="A332:J332 A333:C350 F333:J350 F352:J354 A352:C354">
    <cfRule type="expression" dxfId="219" priority="117">
      <formula>$A332=""</formula>
    </cfRule>
  </conditionalFormatting>
  <conditionalFormatting sqref="D80:E97 D99:E101">
    <cfRule type="expression" dxfId="218" priority="115">
      <formula>$A80=""</formula>
    </cfRule>
  </conditionalFormatting>
  <conditionalFormatting sqref="C392:C393">
    <cfRule type="expression" dxfId="217" priority="455">
      <formula>$A40=""</formula>
    </cfRule>
  </conditionalFormatting>
  <conditionalFormatting sqref="C38:D38 F38:J38 C39:J39">
    <cfRule type="expression" dxfId="216" priority="114">
      <formula>$A38=""</formula>
    </cfRule>
  </conditionalFormatting>
  <conditionalFormatting sqref="E38">
    <cfRule type="expression" dxfId="215" priority="112">
      <formula>$A38=""</formula>
    </cfRule>
  </conditionalFormatting>
  <conditionalFormatting sqref="A52 C52:H52 J52">
    <cfRule type="expression" dxfId="214" priority="110">
      <formula>$A52=""</formula>
    </cfRule>
  </conditionalFormatting>
  <conditionalFormatting sqref="B52">
    <cfRule type="expression" dxfId="213" priority="111">
      <formula>$A50=""</formula>
    </cfRule>
  </conditionalFormatting>
  <conditionalFormatting sqref="C105:C120 A102:B120 C102:J102 C103 F103:J110 F122:J124 A122:C124 F116:J120 F111:F115 H111:J115">
    <cfRule type="expression" dxfId="212" priority="109">
      <formula>$A102=""</formula>
    </cfRule>
  </conditionalFormatting>
  <conditionalFormatting sqref="C104">
    <cfRule type="expression" dxfId="211" priority="108">
      <formula>$A104=""</formula>
    </cfRule>
  </conditionalFormatting>
  <conditionalFormatting sqref="D103:E120 D122:E124">
    <cfRule type="expression" dxfId="210" priority="107">
      <formula>$A103=""</formula>
    </cfRule>
  </conditionalFormatting>
  <conditionalFormatting sqref="D126:E143 D145:E147">
    <cfRule type="expression" dxfId="209" priority="106">
      <formula>$A126=""</formula>
    </cfRule>
  </conditionalFormatting>
  <conditionalFormatting sqref="D149:E166 D168:E170">
    <cfRule type="expression" dxfId="208" priority="105">
      <formula>$A149=""</formula>
    </cfRule>
  </conditionalFormatting>
  <conditionalFormatting sqref="D191:E193 D172:E189">
    <cfRule type="expression" dxfId="207" priority="104">
      <formula>$A172=""</formula>
    </cfRule>
  </conditionalFormatting>
  <conditionalFormatting sqref="E208:E209">
    <cfRule type="expression" dxfId="206" priority="103">
      <formula>$A208=""</formula>
    </cfRule>
  </conditionalFormatting>
  <conditionalFormatting sqref="E211:E212">
    <cfRule type="expression" dxfId="205" priority="102">
      <formula>$A211=""</formula>
    </cfRule>
  </conditionalFormatting>
  <conditionalFormatting sqref="E214:E216">
    <cfRule type="expression" dxfId="204" priority="101">
      <formula>$A214=""</formula>
    </cfRule>
  </conditionalFormatting>
  <conditionalFormatting sqref="D218:E230 D233:E233 D231:D232 D234:D235 D237:D239">
    <cfRule type="expression" dxfId="203" priority="100">
      <formula>$A218=""</formula>
    </cfRule>
  </conditionalFormatting>
  <conditionalFormatting sqref="E231:E232">
    <cfRule type="expression" dxfId="202" priority="99">
      <formula>$A231=""</formula>
    </cfRule>
  </conditionalFormatting>
  <conditionalFormatting sqref="E234:E235">
    <cfRule type="expression" dxfId="201" priority="98">
      <formula>$A234=""</formula>
    </cfRule>
  </conditionalFormatting>
  <conditionalFormatting sqref="E237:E239">
    <cfRule type="expression" dxfId="200" priority="97">
      <formula>$A237=""</formula>
    </cfRule>
  </conditionalFormatting>
  <conditionalFormatting sqref="D256:E256 D254:D255 D257:D258 D260:D262 D241:E253">
    <cfRule type="expression" dxfId="199" priority="96">
      <formula>$A241=""</formula>
    </cfRule>
  </conditionalFormatting>
  <conditionalFormatting sqref="E254:E255">
    <cfRule type="expression" dxfId="198" priority="95">
      <formula>$A254=""</formula>
    </cfRule>
  </conditionalFormatting>
  <conditionalFormatting sqref="E257:E258">
    <cfRule type="expression" dxfId="197" priority="94">
      <formula>$A257=""</formula>
    </cfRule>
  </conditionalFormatting>
  <conditionalFormatting sqref="E260:E262">
    <cfRule type="expression" dxfId="196" priority="93">
      <formula>$A260=""</formula>
    </cfRule>
  </conditionalFormatting>
  <conditionalFormatting sqref="D279:E279 D277:D278 D280:D281 D283:D285 D264:E276">
    <cfRule type="expression" dxfId="195" priority="92">
      <formula>$A264=""</formula>
    </cfRule>
  </conditionalFormatting>
  <conditionalFormatting sqref="E277:E278">
    <cfRule type="expression" dxfId="194" priority="91">
      <formula>$A277=""</formula>
    </cfRule>
  </conditionalFormatting>
  <conditionalFormatting sqref="E280:E281">
    <cfRule type="expression" dxfId="193" priority="90">
      <formula>$A280=""</formula>
    </cfRule>
  </conditionalFormatting>
  <conditionalFormatting sqref="E283:E285">
    <cfRule type="expression" dxfId="192" priority="89">
      <formula>$A283=""</formula>
    </cfRule>
  </conditionalFormatting>
  <conditionalFormatting sqref="D302:E302 D300:D301 D303:D304 D306:D308 D287:E299">
    <cfRule type="expression" dxfId="191" priority="88">
      <formula>$A287=""</formula>
    </cfRule>
  </conditionalFormatting>
  <conditionalFormatting sqref="E300:E301">
    <cfRule type="expression" dxfId="190" priority="87">
      <formula>$A300=""</formula>
    </cfRule>
  </conditionalFormatting>
  <conditionalFormatting sqref="E303:E304">
    <cfRule type="expression" dxfId="189" priority="86">
      <formula>$A303=""</formula>
    </cfRule>
  </conditionalFormatting>
  <conditionalFormatting sqref="E306:E308">
    <cfRule type="expression" dxfId="188" priority="85">
      <formula>$A306=""</formula>
    </cfRule>
  </conditionalFormatting>
  <conditionalFormatting sqref="D325:E325 D323:D324 D326:D327 D329:D331 D310:E322">
    <cfRule type="expression" dxfId="187" priority="84">
      <formula>$A310=""</formula>
    </cfRule>
  </conditionalFormatting>
  <conditionalFormatting sqref="E323:E324">
    <cfRule type="expression" dxfId="186" priority="83">
      <formula>$A323=""</formula>
    </cfRule>
  </conditionalFormatting>
  <conditionalFormatting sqref="E326:E327">
    <cfRule type="expression" dxfId="185" priority="82">
      <formula>$A326=""</formula>
    </cfRule>
  </conditionalFormatting>
  <conditionalFormatting sqref="E329:E331">
    <cfRule type="expression" dxfId="184" priority="81">
      <formula>$A329=""</formula>
    </cfRule>
  </conditionalFormatting>
  <conditionalFormatting sqref="D348:E348 D346:D347 D349:D350 D352:D354 D333:E345">
    <cfRule type="expression" dxfId="183" priority="80">
      <formula>$A333=""</formula>
    </cfRule>
  </conditionalFormatting>
  <conditionalFormatting sqref="E346:E347">
    <cfRule type="expression" dxfId="182" priority="79">
      <formula>$A346=""</formula>
    </cfRule>
  </conditionalFormatting>
  <conditionalFormatting sqref="E349:E350">
    <cfRule type="expression" dxfId="181" priority="78">
      <formula>$A349=""</formula>
    </cfRule>
  </conditionalFormatting>
  <conditionalFormatting sqref="E352:E354">
    <cfRule type="expression" dxfId="180" priority="77">
      <formula>$A352=""</formula>
    </cfRule>
  </conditionalFormatting>
  <conditionalFormatting sqref="A351:C351 F351:J351">
    <cfRule type="expression" dxfId="179" priority="67">
      <formula>$A351=""</formula>
    </cfRule>
  </conditionalFormatting>
  <conditionalFormatting sqref="D351">
    <cfRule type="expression" dxfId="178" priority="66">
      <formula>$A351=""</formula>
    </cfRule>
  </conditionalFormatting>
  <conditionalFormatting sqref="E351">
    <cfRule type="expression" dxfId="177" priority="65">
      <formula>$A351=""</formula>
    </cfRule>
  </conditionalFormatting>
  <conditionalFormatting sqref="A328:C328 F328:J328">
    <cfRule type="expression" dxfId="176" priority="64">
      <formula>$A328=""</formula>
    </cfRule>
  </conditionalFormatting>
  <conditionalFormatting sqref="D328">
    <cfRule type="expression" dxfId="175" priority="63">
      <formula>$A328=""</formula>
    </cfRule>
  </conditionalFormatting>
  <conditionalFormatting sqref="E328">
    <cfRule type="expression" dxfId="174" priority="62">
      <formula>$A328=""</formula>
    </cfRule>
  </conditionalFormatting>
  <conditionalFormatting sqref="A305:C305 F305:J305">
    <cfRule type="expression" dxfId="173" priority="61">
      <formula>$A305=""</formula>
    </cfRule>
  </conditionalFormatting>
  <conditionalFormatting sqref="D305">
    <cfRule type="expression" dxfId="172" priority="60">
      <formula>$A305=""</formula>
    </cfRule>
  </conditionalFormatting>
  <conditionalFormatting sqref="E305">
    <cfRule type="expression" dxfId="171" priority="59">
      <formula>$A305=""</formula>
    </cfRule>
  </conditionalFormatting>
  <conditionalFormatting sqref="A282:C282 F282:J282">
    <cfRule type="expression" dxfId="170" priority="58">
      <formula>$A282=""</formula>
    </cfRule>
  </conditionalFormatting>
  <conditionalFormatting sqref="D282">
    <cfRule type="expression" dxfId="169" priority="57">
      <formula>$A282=""</formula>
    </cfRule>
  </conditionalFormatting>
  <conditionalFormatting sqref="E282">
    <cfRule type="expression" dxfId="168" priority="56">
      <formula>$A282=""</formula>
    </cfRule>
  </conditionalFormatting>
  <conditionalFormatting sqref="A259:C259 F259:J259">
    <cfRule type="expression" dxfId="167" priority="55">
      <formula>$A259=""</formula>
    </cfRule>
  </conditionalFormatting>
  <conditionalFormatting sqref="D259">
    <cfRule type="expression" dxfId="166" priority="54">
      <formula>$A259=""</formula>
    </cfRule>
  </conditionalFormatting>
  <conditionalFormatting sqref="E259">
    <cfRule type="expression" dxfId="165" priority="53">
      <formula>$A259=""</formula>
    </cfRule>
  </conditionalFormatting>
  <conditionalFormatting sqref="A236:C236 F236:J236">
    <cfRule type="expression" dxfId="164" priority="52">
      <formula>$A236=""</formula>
    </cfRule>
  </conditionalFormatting>
  <conditionalFormatting sqref="D236">
    <cfRule type="expression" dxfId="163" priority="51">
      <formula>$A236=""</formula>
    </cfRule>
  </conditionalFormatting>
  <conditionalFormatting sqref="E236">
    <cfRule type="expression" dxfId="162" priority="50">
      <formula>$A236=""</formula>
    </cfRule>
  </conditionalFormatting>
  <conditionalFormatting sqref="A213:C213 F213:J213">
    <cfRule type="expression" dxfId="161" priority="49">
      <formula>$A213=""</formula>
    </cfRule>
  </conditionalFormatting>
  <conditionalFormatting sqref="D213">
    <cfRule type="expression" dxfId="160" priority="48">
      <formula>$A213=""</formula>
    </cfRule>
  </conditionalFormatting>
  <conditionalFormatting sqref="E213">
    <cfRule type="expression" dxfId="159" priority="47">
      <formula>$A213=""</formula>
    </cfRule>
  </conditionalFormatting>
  <conditionalFormatting sqref="A190:C190 F190:J190">
    <cfRule type="expression" dxfId="158" priority="46">
      <formula>$A190=""</formula>
    </cfRule>
  </conditionalFormatting>
  <conditionalFormatting sqref="D190">
    <cfRule type="expression" dxfId="157" priority="45">
      <formula>$A190=""</formula>
    </cfRule>
  </conditionalFormatting>
  <conditionalFormatting sqref="E190">
    <cfRule type="expression" dxfId="156" priority="44">
      <formula>$A190=""</formula>
    </cfRule>
  </conditionalFormatting>
  <conditionalFormatting sqref="A167:C167 F167:J167">
    <cfRule type="expression" dxfId="155" priority="43">
      <formula>$A167=""</formula>
    </cfRule>
  </conditionalFormatting>
  <conditionalFormatting sqref="D167">
    <cfRule type="expression" dxfId="154" priority="42">
      <formula>$A167=""</formula>
    </cfRule>
  </conditionalFormatting>
  <conditionalFormatting sqref="E167">
    <cfRule type="expression" dxfId="153" priority="41">
      <formula>$A167=""</formula>
    </cfRule>
  </conditionalFormatting>
  <conditionalFormatting sqref="A144:C144 F144:J144">
    <cfRule type="expression" dxfId="152" priority="40">
      <formula>$A144=""</formula>
    </cfRule>
  </conditionalFormatting>
  <conditionalFormatting sqref="D144">
    <cfRule type="expression" dxfId="151" priority="39">
      <formula>$A144=""</formula>
    </cfRule>
  </conditionalFormatting>
  <conditionalFormatting sqref="E144">
    <cfRule type="expression" dxfId="150" priority="38">
      <formula>$A144=""</formula>
    </cfRule>
  </conditionalFormatting>
  <conditionalFormatting sqref="A121:C121 F121:J121">
    <cfRule type="expression" dxfId="149" priority="37">
      <formula>$A121=""</formula>
    </cfRule>
  </conditionalFormatting>
  <conditionalFormatting sqref="D121">
    <cfRule type="expression" dxfId="148" priority="36">
      <formula>$A121=""</formula>
    </cfRule>
  </conditionalFormatting>
  <conditionalFormatting sqref="E121">
    <cfRule type="expression" dxfId="147" priority="35">
      <formula>$A121=""</formula>
    </cfRule>
  </conditionalFormatting>
  <conditionalFormatting sqref="A98:C98 F98:J98">
    <cfRule type="expression" dxfId="146" priority="34">
      <formula>$A98=""</formula>
    </cfRule>
  </conditionalFormatting>
  <conditionalFormatting sqref="D98">
    <cfRule type="expression" dxfId="145" priority="33">
      <formula>$A98=""</formula>
    </cfRule>
  </conditionalFormatting>
  <conditionalFormatting sqref="E98">
    <cfRule type="expression" dxfId="144" priority="32">
      <formula>$A98=""</formula>
    </cfRule>
  </conditionalFormatting>
  <conditionalFormatting sqref="A75:C75 F75:H75 J75">
    <cfRule type="expression" dxfId="143" priority="31">
      <formula>$A75=""</formula>
    </cfRule>
  </conditionalFormatting>
  <conditionalFormatting sqref="D75">
    <cfRule type="expression" dxfId="142" priority="30">
      <formula>$A75=""</formula>
    </cfRule>
  </conditionalFormatting>
  <conditionalFormatting sqref="E75">
    <cfRule type="expression" dxfId="141" priority="29">
      <formula>$A75=""</formula>
    </cfRule>
  </conditionalFormatting>
  <conditionalFormatting sqref="A51:C51 F51:H51 J51">
    <cfRule type="expression" dxfId="140" priority="28">
      <formula>$A51=""</formula>
    </cfRule>
  </conditionalFormatting>
  <conditionalFormatting sqref="D51">
    <cfRule type="expression" dxfId="139" priority="27">
      <formula>$A51=""</formula>
    </cfRule>
  </conditionalFormatting>
  <conditionalFormatting sqref="E51">
    <cfRule type="expression" dxfId="138" priority="26">
      <formula>$A51=""</formula>
    </cfRule>
  </conditionalFormatting>
  <conditionalFormatting sqref="G111:G115">
    <cfRule type="expression" dxfId="137" priority="25">
      <formula>$A111=""</formula>
    </cfRule>
  </conditionalFormatting>
  <conditionalFormatting sqref="G134:G138">
    <cfRule type="expression" dxfId="136" priority="24">
      <formula>$A134=""</formula>
    </cfRule>
  </conditionalFormatting>
  <conditionalFormatting sqref="G157:G161">
    <cfRule type="expression" dxfId="135" priority="23">
      <formula>$A157=""</formula>
    </cfRule>
  </conditionalFormatting>
  <conditionalFormatting sqref="G180:G184">
    <cfRule type="expression" dxfId="134" priority="22">
      <formula>$A180=""</formula>
    </cfRule>
  </conditionalFormatting>
  <conditionalFormatting sqref="G272:G276">
    <cfRule type="expression" dxfId="133" priority="21">
      <formula>$A272=""</formula>
    </cfRule>
  </conditionalFormatting>
  <conditionalFormatting sqref="G295:G299">
    <cfRule type="expression" dxfId="132" priority="20">
      <formula>$A295=""</formula>
    </cfRule>
  </conditionalFormatting>
  <conditionalFormatting sqref="G318:G322">
    <cfRule type="expression" dxfId="131" priority="19">
      <formula>$A318=""</formula>
    </cfRule>
  </conditionalFormatting>
  <conditionalFormatting sqref="E197">
    <cfRule type="expression" dxfId="130" priority="18">
      <formula>$A197=""</formula>
    </cfRule>
  </conditionalFormatting>
  <conditionalFormatting sqref="E200">
    <cfRule type="expression" dxfId="129" priority="17">
      <formula>$A200=""</formula>
    </cfRule>
  </conditionalFormatting>
  <conditionalFormatting sqref="I50:I52">
    <cfRule type="expression" dxfId="128" priority="16">
      <formula>$A50=""</formula>
    </cfRule>
  </conditionalFormatting>
  <conditionalFormatting sqref="I53:I55">
    <cfRule type="expression" dxfId="127" priority="15">
      <formula>$A53=""</formula>
    </cfRule>
  </conditionalFormatting>
  <conditionalFormatting sqref="I58:I59">
    <cfRule type="expression" dxfId="126" priority="14">
      <formula>$A58=""</formula>
    </cfRule>
  </conditionalFormatting>
  <conditionalFormatting sqref="I61:I62">
    <cfRule type="expression" dxfId="125" priority="13">
      <formula>$A61=""</formula>
    </cfRule>
  </conditionalFormatting>
  <conditionalFormatting sqref="I63:I71">
    <cfRule type="expression" dxfId="124" priority="12">
      <formula>$A63=""</formula>
    </cfRule>
  </conditionalFormatting>
  <conditionalFormatting sqref="I73:I78">
    <cfRule type="expression" dxfId="123" priority="11">
      <formula>$A73=""</formula>
    </cfRule>
  </conditionalFormatting>
  <conditionalFormatting sqref="I81:I82">
    <cfRule type="expression" dxfId="122" priority="10">
      <formula>$A81=""</formula>
    </cfRule>
  </conditionalFormatting>
  <conditionalFormatting sqref="I84:I85">
    <cfRule type="expression" dxfId="121" priority="9">
      <formula>$A84=""</formula>
    </cfRule>
  </conditionalFormatting>
  <conditionalFormatting sqref="A355:J355 A356:C373 F356:J373 F375:J377 A375:C377">
    <cfRule type="expression" dxfId="120" priority="8">
      <formula>$A355=""</formula>
    </cfRule>
  </conditionalFormatting>
  <conditionalFormatting sqref="D371:E371 D369:D370 D372:D373 D375:D377 D356:E368">
    <cfRule type="expression" dxfId="119" priority="7">
      <formula>$A356=""</formula>
    </cfRule>
  </conditionalFormatting>
  <conditionalFormatting sqref="E369:E370">
    <cfRule type="expression" dxfId="118" priority="6">
      <formula>$A369=""</formula>
    </cfRule>
  </conditionalFormatting>
  <conditionalFormatting sqref="E372:E373">
    <cfRule type="expression" dxfId="117" priority="5">
      <formula>$A372=""</formula>
    </cfRule>
  </conditionalFormatting>
  <conditionalFormatting sqref="E375:E377">
    <cfRule type="expression" dxfId="116" priority="4">
      <formula>$A375=""</formula>
    </cfRule>
  </conditionalFormatting>
  <conditionalFormatting sqref="A374:C374 F374:J374">
    <cfRule type="expression" dxfId="115" priority="3">
      <formula>$A374=""</formula>
    </cfRule>
  </conditionalFormatting>
  <conditionalFormatting sqref="D374">
    <cfRule type="expression" dxfId="114" priority="2">
      <formula>$A374=""</formula>
    </cfRule>
  </conditionalFormatting>
  <conditionalFormatting sqref="E374">
    <cfRule type="expression" dxfId="113" priority="1">
      <formula>$A374=""</formula>
    </cfRule>
  </conditionalFormatting>
  <dataValidations disablePrompts="1" count="1">
    <dataValidation type="list" allowBlank="1" showInputMessage="1" showErrorMessage="1" sqref="J30:J377" xr:uid="{527AC714-A3F9-4C6D-B712-6C9AE5C1400F}">
      <formula1>$R$2:$R$22</formula1>
    </dataValidation>
  </dataValidations>
  <printOptions horizontalCentered="1"/>
  <pageMargins left="0.70866141732283472" right="0.31496062992125984" top="0.35433070866141736" bottom="0.35433070866141736" header="0.31496062992125984" footer="0.31496062992125984"/>
  <pageSetup paperSize="9" scale="7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A1:S349"/>
  <sheetViews>
    <sheetView view="pageBreakPreview" topLeftCell="A25" zoomScale="90" zoomScaleNormal="115" zoomScaleSheetLayoutView="90" workbookViewId="0">
      <pane xSplit="3" ySplit="6" topLeftCell="D307" activePane="bottomRight" state="frozen"/>
      <selection activeCell="A25" sqref="A25"/>
      <selection pane="topRight" activeCell="D25" sqref="D25"/>
      <selection pane="bottomLeft" activeCell="A31" sqref="A31"/>
      <selection pane="bottomRight" activeCell="G281" sqref="G281"/>
    </sheetView>
  </sheetViews>
  <sheetFormatPr defaultColWidth="9.109375" defaultRowHeight="13.2"/>
  <cols>
    <col min="1" max="1" width="4.33203125" style="1" hidden="1" customWidth="1"/>
    <col min="2" max="2" width="4.109375" style="1" hidden="1" customWidth="1"/>
    <col min="3" max="3" width="30.6640625" style="2" bestFit="1" customWidth="1"/>
    <col min="4" max="4" width="10.33203125" style="1" bestFit="1" customWidth="1"/>
    <col min="5" max="5" width="19.88671875" style="1" bestFit="1" customWidth="1"/>
    <col min="6" max="6" width="6" style="2" bestFit="1" customWidth="1"/>
    <col min="7" max="7" width="10.5546875" style="2" bestFit="1" customWidth="1"/>
    <col min="8" max="8" width="5.109375" style="2" bestFit="1" customWidth="1"/>
    <col min="9" max="9" width="10.44140625" style="35" bestFit="1" customWidth="1"/>
    <col min="10" max="10" width="10.44140625" style="35" customWidth="1"/>
    <col min="11" max="11" width="9.109375" style="2"/>
    <col min="12" max="12" width="32.33203125" style="2" bestFit="1" customWidth="1"/>
    <col min="13" max="13" width="30.6640625" style="2" bestFit="1" customWidth="1"/>
    <col min="14" max="16384" width="9.109375" style="2"/>
  </cols>
  <sheetData>
    <row r="1" spans="1:19" ht="16.8" hidden="1">
      <c r="I1" s="32"/>
      <c r="J1" s="32"/>
      <c r="R1" s="3" t="s">
        <v>13</v>
      </c>
      <c r="S1" s="4" t="s">
        <v>19</v>
      </c>
    </row>
    <row r="2" spans="1:19" s="5" customFormat="1" ht="16.8" hidden="1">
      <c r="I2" s="32"/>
      <c r="J2" s="32"/>
      <c r="R2" s="6" t="s">
        <v>2</v>
      </c>
      <c r="S2" s="7">
        <v>1</v>
      </c>
    </row>
    <row r="3" spans="1:19" s="5" customFormat="1" ht="16.8" hidden="1">
      <c r="I3" s="32"/>
      <c r="J3" s="32"/>
      <c r="R3" s="6" t="s">
        <v>0</v>
      </c>
      <c r="S3" s="7">
        <v>1</v>
      </c>
    </row>
    <row r="4" spans="1:19" s="5" customFormat="1" ht="16.8" hidden="1">
      <c r="I4" s="32"/>
      <c r="J4" s="32"/>
      <c r="R4" s="6" t="s">
        <v>5</v>
      </c>
      <c r="S4" s="7">
        <v>1</v>
      </c>
    </row>
    <row r="5" spans="1:19" ht="16.8" hidden="1">
      <c r="I5" s="32"/>
      <c r="J5" s="32"/>
      <c r="R5" s="3" t="s">
        <v>6</v>
      </c>
      <c r="S5" s="4">
        <v>0.01</v>
      </c>
    </row>
    <row r="6" spans="1:19" ht="16.8" hidden="1">
      <c r="I6" s="32"/>
      <c r="J6" s="32"/>
      <c r="R6" s="3" t="s">
        <v>7</v>
      </c>
      <c r="S6" s="4">
        <v>0.01</v>
      </c>
    </row>
    <row r="7" spans="1:19" s="5" customFormat="1" ht="16.8" hidden="1">
      <c r="I7" s="32"/>
      <c r="J7" s="32"/>
      <c r="R7" s="3" t="s">
        <v>4</v>
      </c>
      <c r="S7" s="4">
        <v>0.01</v>
      </c>
    </row>
    <row r="8" spans="1:19" s="5" customFormat="1" ht="16.8" hidden="1">
      <c r="I8" s="32"/>
      <c r="J8" s="32"/>
      <c r="R8" s="3" t="s">
        <v>10</v>
      </c>
      <c r="S8" s="4">
        <v>1E-3</v>
      </c>
    </row>
    <row r="9" spans="1:19" ht="16.8" hidden="1">
      <c r="I9" s="32"/>
      <c r="J9" s="32"/>
      <c r="R9" s="3" t="s">
        <v>14</v>
      </c>
      <c r="S9" s="4">
        <v>1</v>
      </c>
    </row>
    <row r="10" spans="1:19" ht="16.8" hidden="1">
      <c r="I10" s="32"/>
      <c r="J10" s="32"/>
      <c r="R10" s="3" t="s">
        <v>15</v>
      </c>
      <c r="S10" s="4">
        <v>1</v>
      </c>
    </row>
    <row r="11" spans="1:19" ht="16.8" hidden="1">
      <c r="I11" s="32"/>
      <c r="J11" s="32"/>
      <c r="R11" s="3" t="s">
        <v>22</v>
      </c>
      <c r="S11" s="4">
        <v>1</v>
      </c>
    </row>
    <row r="12" spans="1:19" ht="16.8" hidden="1">
      <c r="I12" s="32"/>
      <c r="J12" s="32"/>
      <c r="R12" s="3" t="s">
        <v>23</v>
      </c>
      <c r="S12" s="4">
        <v>1</v>
      </c>
    </row>
    <row r="13" spans="1:19" ht="16.8" hidden="1">
      <c r="I13" s="32"/>
      <c r="J13" s="32"/>
      <c r="R13" s="3" t="s">
        <v>24</v>
      </c>
      <c r="S13" s="4">
        <v>1</v>
      </c>
    </row>
    <row r="14" spans="1:19" ht="16.8" hidden="1">
      <c r="I14" s="32"/>
      <c r="J14" s="32"/>
      <c r="R14" s="3" t="s">
        <v>16</v>
      </c>
      <c r="S14" s="4">
        <v>1</v>
      </c>
    </row>
    <row r="15" spans="1:19" ht="16.8" hidden="1">
      <c r="A15" s="2"/>
      <c r="B15" s="2"/>
      <c r="D15" s="2"/>
      <c r="E15" s="2"/>
      <c r="I15" s="31"/>
      <c r="J15" s="31"/>
      <c r="R15" s="3" t="s">
        <v>21</v>
      </c>
      <c r="S15" s="4">
        <v>1</v>
      </c>
    </row>
    <row r="16" spans="1:19" ht="16.8" hidden="1">
      <c r="I16" s="32"/>
      <c r="J16" s="32"/>
      <c r="R16" s="3" t="s">
        <v>25</v>
      </c>
      <c r="S16" s="4">
        <v>1</v>
      </c>
    </row>
    <row r="17" spans="1:19" ht="16.8" hidden="1">
      <c r="I17" s="32"/>
      <c r="J17" s="32"/>
      <c r="R17" s="8" t="s">
        <v>17</v>
      </c>
      <c r="S17" s="9">
        <v>1</v>
      </c>
    </row>
    <row r="18" spans="1:19" ht="16.8" hidden="1">
      <c r="I18" s="32"/>
      <c r="J18" s="32"/>
      <c r="R18" s="8" t="s">
        <v>26</v>
      </c>
      <c r="S18" s="9">
        <v>1</v>
      </c>
    </row>
    <row r="19" spans="1:19" ht="16.8" hidden="1">
      <c r="I19" s="32"/>
      <c r="J19" s="32"/>
      <c r="R19" s="3"/>
      <c r="S19" s="4"/>
    </row>
    <row r="20" spans="1:19" ht="16.8" hidden="1">
      <c r="A20" s="2"/>
      <c r="B20" s="2"/>
      <c r="D20" s="2"/>
      <c r="E20" s="2"/>
      <c r="I20" s="31"/>
      <c r="J20" s="31"/>
      <c r="R20" s="3"/>
      <c r="S20" s="4"/>
    </row>
    <row r="21" spans="1:19" ht="16.8" hidden="1">
      <c r="I21" s="32"/>
      <c r="J21" s="32"/>
      <c r="R21" s="3"/>
      <c r="S21" s="4"/>
    </row>
    <row r="22" spans="1:19" ht="16.8" hidden="1">
      <c r="I22" s="32"/>
      <c r="J22" s="32"/>
      <c r="R22" s="3"/>
      <c r="S22" s="4"/>
    </row>
    <row r="23" spans="1:19" ht="16.8" hidden="1">
      <c r="A23" s="2"/>
      <c r="B23" s="2"/>
      <c r="D23" s="2"/>
      <c r="E23" s="2"/>
      <c r="I23" s="31"/>
      <c r="J23" s="31"/>
      <c r="K23" s="10"/>
      <c r="L23" s="11"/>
    </row>
    <row r="24" spans="1:19" hidden="1">
      <c r="A24" s="2"/>
      <c r="B24" s="2"/>
      <c r="D24" s="2"/>
      <c r="E24" s="2"/>
      <c r="I24" s="31"/>
      <c r="J24" s="31"/>
    </row>
    <row r="25" spans="1:19" ht="17.399999999999999">
      <c r="A25" s="331" t="s">
        <v>27</v>
      </c>
      <c r="B25" s="331"/>
      <c r="C25" s="331"/>
      <c r="D25" s="331"/>
      <c r="E25" s="331"/>
      <c r="F25" s="331"/>
      <c r="G25" s="331"/>
      <c r="H25" s="331"/>
      <c r="I25" s="331"/>
      <c r="J25" s="60"/>
    </row>
    <row r="26" spans="1:19" ht="13.8">
      <c r="A26" s="332" t="s">
        <v>28</v>
      </c>
      <c r="B26" s="332"/>
      <c r="C26" s="332"/>
      <c r="D26" s="332"/>
      <c r="E26" s="332"/>
      <c r="F26" s="332"/>
      <c r="G26" s="332"/>
      <c r="H26" s="332"/>
      <c r="I26" s="332"/>
      <c r="J26" s="61"/>
    </row>
    <row r="27" spans="1:19" s="12" customFormat="1" ht="14.4">
      <c r="A27" s="349" t="s">
        <v>29</v>
      </c>
      <c r="B27" s="349"/>
      <c r="C27" s="349"/>
      <c r="D27" s="349"/>
      <c r="E27" s="349"/>
      <c r="F27" s="349"/>
      <c r="G27" s="349"/>
      <c r="H27" s="349"/>
      <c r="I27" s="349"/>
      <c r="J27" s="59"/>
    </row>
    <row r="28" spans="1:19" s="12" customFormat="1">
      <c r="A28" s="350"/>
      <c r="B28" s="350"/>
      <c r="C28" s="350"/>
      <c r="D28" s="350"/>
      <c r="E28" s="350"/>
      <c r="F28" s="350"/>
      <c r="G28" s="350"/>
      <c r="H28" s="350"/>
      <c r="I28" s="350"/>
      <c r="J28" s="40"/>
    </row>
    <row r="29" spans="1:19" s="16" customFormat="1" ht="39.6">
      <c r="A29" s="13" t="s">
        <v>3</v>
      </c>
      <c r="B29" s="14" t="s">
        <v>18</v>
      </c>
      <c r="C29" s="13" t="s">
        <v>11</v>
      </c>
      <c r="D29" s="351" t="s">
        <v>30</v>
      </c>
      <c r="E29" s="352"/>
      <c r="F29" s="13" t="s">
        <v>293</v>
      </c>
      <c r="G29" s="15" t="s">
        <v>31</v>
      </c>
      <c r="H29" s="15" t="s">
        <v>32</v>
      </c>
      <c r="I29" s="33" t="s">
        <v>8</v>
      </c>
      <c r="J29" s="13" t="s">
        <v>9</v>
      </c>
    </row>
    <row r="30" spans="1:19">
      <c r="A30" s="58" t="s">
        <v>1</v>
      </c>
      <c r="B30" s="58"/>
      <c r="C30" s="7" t="s">
        <v>60</v>
      </c>
      <c r="D30" s="58"/>
      <c r="E30" s="58"/>
      <c r="F30" s="7"/>
      <c r="G30" s="7"/>
      <c r="H30" s="17"/>
      <c r="I30" s="34">
        <v>43</v>
      </c>
      <c r="J30" s="58" t="s">
        <v>24</v>
      </c>
    </row>
    <row r="31" spans="1:19">
      <c r="A31" s="18">
        <f>IF(LEN(B31)=0," ",COUNTA($B$30:B31))</f>
        <v>1</v>
      </c>
      <c r="B31" s="18">
        <v>1</v>
      </c>
      <c r="C31" s="4" t="s">
        <v>33</v>
      </c>
      <c r="D31" s="18"/>
      <c r="E31" s="58"/>
      <c r="F31" s="62">
        <f t="shared" ref="F31:F45" si="0">VLOOKUP(J31,$R$2:$S$22,2,0)</f>
        <v>1</v>
      </c>
      <c r="G31" s="4"/>
      <c r="H31" s="29">
        <f t="shared" ref="H31:H37" si="1">$I$30</f>
        <v>43</v>
      </c>
      <c r="I31" s="34">
        <f ca="1">SUM(I32:I33)</f>
        <v>225.07274999999998</v>
      </c>
      <c r="J31" s="18" t="s">
        <v>5</v>
      </c>
    </row>
    <row r="32" spans="1:19">
      <c r="A32" s="18"/>
      <c r="B32" s="18"/>
      <c r="C32" s="19" t="s">
        <v>342</v>
      </c>
      <c r="D32" s="18" t="s">
        <v>54</v>
      </c>
      <c r="E32" s="20" t="s">
        <v>34</v>
      </c>
      <c r="F32" s="62">
        <f t="shared" si="0"/>
        <v>1</v>
      </c>
      <c r="G32" s="23">
        <f ca="1">Eval(E32)*F32</f>
        <v>5.3689999999999998</v>
      </c>
      <c r="H32" s="29">
        <f t="shared" si="1"/>
        <v>43</v>
      </c>
      <c r="I32" s="34">
        <f ca="1">G32*H32</f>
        <v>230.86699999999999</v>
      </c>
      <c r="J32" s="18" t="s">
        <v>5</v>
      </c>
      <c r="N32" s="31"/>
    </row>
    <row r="33" spans="1:10">
      <c r="A33" s="18"/>
      <c r="B33" s="18"/>
      <c r="C33" s="19" t="s">
        <v>35</v>
      </c>
      <c r="D33" s="18" t="s">
        <v>55</v>
      </c>
      <c r="E33" s="25" t="s">
        <v>51</v>
      </c>
      <c r="F33" s="62">
        <f t="shared" si="0"/>
        <v>1</v>
      </c>
      <c r="G33" s="23">
        <f ca="1">Eval(E33)*F33</f>
        <v>-0.13474999999999998</v>
      </c>
      <c r="H33" s="29">
        <f t="shared" si="1"/>
        <v>43</v>
      </c>
      <c r="I33" s="34">
        <f ca="1">G33*H33</f>
        <v>-5.794249999999999</v>
      </c>
      <c r="J33" s="18" t="s">
        <v>5</v>
      </c>
    </row>
    <row r="34" spans="1:10">
      <c r="A34" s="18">
        <f>IF(LEN(B34)=0," ",COUNTA($B$30:B34))</f>
        <v>2</v>
      </c>
      <c r="B34" s="18">
        <v>2</v>
      </c>
      <c r="C34" s="4" t="s">
        <v>36</v>
      </c>
      <c r="D34" s="18"/>
      <c r="E34" s="4"/>
      <c r="F34" s="62">
        <f t="shared" si="0"/>
        <v>1</v>
      </c>
      <c r="G34" s="23"/>
      <c r="H34" s="29">
        <f t="shared" si="1"/>
        <v>43</v>
      </c>
      <c r="I34" s="34">
        <f ca="1">SUM(I35:I36)</f>
        <v>1100.6978750000001</v>
      </c>
      <c r="J34" s="18" t="s">
        <v>5</v>
      </c>
    </row>
    <row r="35" spans="1:10" s="5" customFormat="1">
      <c r="A35" s="18"/>
      <c r="B35" s="18"/>
      <c r="C35" s="19" t="s">
        <v>344</v>
      </c>
      <c r="D35" s="18" t="s">
        <v>54</v>
      </c>
      <c r="E35" s="24" t="s">
        <v>50</v>
      </c>
      <c r="F35" s="62">
        <f t="shared" si="0"/>
        <v>1</v>
      </c>
      <c r="G35" s="23">
        <f ca="1">Eval(E35)*F35</f>
        <v>25.664999999999999</v>
      </c>
      <c r="H35" s="29">
        <f t="shared" si="1"/>
        <v>43</v>
      </c>
      <c r="I35" s="34">
        <f t="shared" ref="I35:I45" ca="1" si="2">G35*H35</f>
        <v>1103.595</v>
      </c>
      <c r="J35" s="18" t="s">
        <v>5</v>
      </c>
    </row>
    <row r="36" spans="1:10">
      <c r="A36" s="18"/>
      <c r="B36" s="18"/>
      <c r="C36" s="19" t="s">
        <v>35</v>
      </c>
      <c r="D36" s="18" t="s">
        <v>55</v>
      </c>
      <c r="E36" s="26" t="s">
        <v>52</v>
      </c>
      <c r="F36" s="62">
        <f t="shared" si="0"/>
        <v>1</v>
      </c>
      <c r="G36" s="23">
        <f ca="1">Eval(E36)*F36</f>
        <v>-6.737499999999999E-2</v>
      </c>
      <c r="H36" s="29">
        <f t="shared" si="1"/>
        <v>43</v>
      </c>
      <c r="I36" s="34">
        <f t="shared" ca="1" si="2"/>
        <v>-2.8971249999999995</v>
      </c>
      <c r="J36" s="18" t="s">
        <v>5</v>
      </c>
    </row>
    <row r="37" spans="1:10">
      <c r="A37" s="18">
        <f>IF(LEN(B37)=0," ",COUNTA($B$30:B37))</f>
        <v>3</v>
      </c>
      <c r="B37" s="18">
        <v>3</v>
      </c>
      <c r="C37" s="4" t="s">
        <v>37</v>
      </c>
      <c r="D37" s="18" t="s">
        <v>56</v>
      </c>
      <c r="E37" s="27" t="s">
        <v>53</v>
      </c>
      <c r="F37" s="62">
        <f t="shared" si="0"/>
        <v>1</v>
      </c>
      <c r="G37" s="23">
        <f ca="1">Eval(E37)*F37</f>
        <v>13.452</v>
      </c>
      <c r="H37" s="29">
        <f t="shared" si="1"/>
        <v>43</v>
      </c>
      <c r="I37" s="34">
        <f t="shared" ca="1" si="2"/>
        <v>578.43600000000004</v>
      </c>
      <c r="J37" s="18" t="s">
        <v>5</v>
      </c>
    </row>
    <row r="38" spans="1:10">
      <c r="A38" s="18">
        <f>IF(LEN(B38)=0," ",COUNTA($B$30:B38))</f>
        <v>4</v>
      </c>
      <c r="B38" s="18">
        <v>4</v>
      </c>
      <c r="C38" s="4" t="s">
        <v>38</v>
      </c>
      <c r="D38" s="18" t="s">
        <v>57</v>
      </c>
      <c r="E38" s="21" t="s">
        <v>58</v>
      </c>
      <c r="F38" s="62">
        <f t="shared" si="0"/>
        <v>1</v>
      </c>
      <c r="G38" s="23">
        <f ca="1">Eval(E38)*F38</f>
        <v>0.38100000000000001</v>
      </c>
      <c r="H38" s="29">
        <f>$I$30*3</f>
        <v>129</v>
      </c>
      <c r="I38" s="34">
        <f t="shared" ca="1" si="2"/>
        <v>49.149000000000001</v>
      </c>
      <c r="J38" s="18" t="s">
        <v>5</v>
      </c>
    </row>
    <row r="39" spans="1:10">
      <c r="A39" s="18">
        <f>IF(LEN(B39)=0," ",COUNTA($B$30:B39))</f>
        <v>5</v>
      </c>
      <c r="B39" s="18">
        <v>5</v>
      </c>
      <c r="C39" s="4" t="s">
        <v>39</v>
      </c>
      <c r="D39" s="342" t="s">
        <v>59</v>
      </c>
      <c r="E39" s="343"/>
      <c r="F39" s="62">
        <f t="shared" si="0"/>
        <v>1E-3</v>
      </c>
      <c r="G39" s="4">
        <f>40.18*F39</f>
        <v>4.018E-2</v>
      </c>
      <c r="H39" s="29">
        <f t="shared" ref="H39:H45" si="3">$I$30</f>
        <v>43</v>
      </c>
      <c r="I39" s="34">
        <f t="shared" si="2"/>
        <v>1.7277400000000001</v>
      </c>
      <c r="J39" s="18" t="s">
        <v>10</v>
      </c>
    </row>
    <row r="40" spans="1:10">
      <c r="A40" s="18">
        <f>IF(LEN(B40)=0," ",COUNTA($B$30:B40))</f>
        <v>6</v>
      </c>
      <c r="B40" s="18">
        <v>6</v>
      </c>
      <c r="C40" s="4" t="s">
        <v>40</v>
      </c>
      <c r="D40" s="342" t="s">
        <v>59</v>
      </c>
      <c r="E40" s="343"/>
      <c r="F40" s="62">
        <f t="shared" si="0"/>
        <v>1E-3</v>
      </c>
      <c r="G40" s="4">
        <f>1378.76*F40</f>
        <v>1.37876</v>
      </c>
      <c r="H40" s="29">
        <f t="shared" si="3"/>
        <v>43</v>
      </c>
      <c r="I40" s="34">
        <f t="shared" si="2"/>
        <v>59.286679999999997</v>
      </c>
      <c r="J40" s="18" t="s">
        <v>10</v>
      </c>
    </row>
    <row r="41" spans="1:10">
      <c r="A41" s="18">
        <f>IF(LEN(B41)=0," ",COUNTA($B$30:B41))</f>
        <v>7</v>
      </c>
      <c r="B41" s="18">
        <v>7</v>
      </c>
      <c r="C41" s="4" t="s">
        <v>41</v>
      </c>
      <c r="D41" s="342" t="s">
        <v>59</v>
      </c>
      <c r="E41" s="343"/>
      <c r="F41" s="62">
        <f t="shared" si="0"/>
        <v>1E-3</v>
      </c>
      <c r="G41" s="28">
        <f>33.46*F41</f>
        <v>3.3460000000000004E-2</v>
      </c>
      <c r="H41" s="29">
        <f t="shared" si="3"/>
        <v>43</v>
      </c>
      <c r="I41" s="34">
        <f t="shared" si="2"/>
        <v>1.4387800000000002</v>
      </c>
      <c r="J41" s="18" t="s">
        <v>10</v>
      </c>
    </row>
    <row r="42" spans="1:10">
      <c r="A42" s="18">
        <f>IF(LEN(B42)=0," ",COUNTA($B$30:B42))</f>
        <v>8</v>
      </c>
      <c r="B42" s="18">
        <v>8</v>
      </c>
      <c r="C42" s="4" t="s">
        <v>42</v>
      </c>
      <c r="D42" s="342" t="s">
        <v>59</v>
      </c>
      <c r="E42" s="343"/>
      <c r="F42" s="62">
        <f t="shared" si="0"/>
        <v>1E-3</v>
      </c>
      <c r="G42" s="28">
        <f>840.48*F42</f>
        <v>0.84048</v>
      </c>
      <c r="H42" s="29">
        <f t="shared" si="3"/>
        <v>43</v>
      </c>
      <c r="I42" s="34">
        <f t="shared" si="2"/>
        <v>36.140639999999998</v>
      </c>
      <c r="J42" s="18" t="s">
        <v>10</v>
      </c>
    </row>
    <row r="43" spans="1:10">
      <c r="A43" s="18">
        <f>IF(LEN(B43)=0," ",COUNTA($B$30:B43))</f>
        <v>9</v>
      </c>
      <c r="B43" s="18">
        <v>9</v>
      </c>
      <c r="C43" s="4" t="s">
        <v>61</v>
      </c>
      <c r="D43" s="342" t="s">
        <v>59</v>
      </c>
      <c r="E43" s="343"/>
      <c r="F43" s="62">
        <f t="shared" si="0"/>
        <v>1E-3</v>
      </c>
      <c r="G43" s="28">
        <f>150.87*F43</f>
        <v>0.15087</v>
      </c>
      <c r="H43" s="29">
        <f t="shared" si="3"/>
        <v>43</v>
      </c>
      <c r="I43" s="34">
        <f t="shared" si="2"/>
        <v>6.4874100000000006</v>
      </c>
      <c r="J43" s="18" t="s">
        <v>10</v>
      </c>
    </row>
    <row r="44" spans="1:10">
      <c r="A44" s="18">
        <f>IF(LEN(B44)=0," ",COUNTA($B$30:B44))</f>
        <v>10</v>
      </c>
      <c r="B44" s="18">
        <v>10</v>
      </c>
      <c r="C44" s="4" t="s">
        <v>43</v>
      </c>
      <c r="D44" s="18" t="s">
        <v>62</v>
      </c>
      <c r="E44" s="21" t="s">
        <v>64</v>
      </c>
      <c r="F44" s="62">
        <f t="shared" si="0"/>
        <v>0.01</v>
      </c>
      <c r="G44" s="28">
        <f ca="1">Eval(E44)*F44</f>
        <v>2.8150000000000005E-2</v>
      </c>
      <c r="H44" s="29">
        <f t="shared" si="3"/>
        <v>43</v>
      </c>
      <c r="I44" s="34">
        <f t="shared" ca="1" si="2"/>
        <v>1.2104500000000002</v>
      </c>
      <c r="J44" s="18" t="s">
        <v>4</v>
      </c>
    </row>
    <row r="45" spans="1:10">
      <c r="A45" s="18">
        <f>IF(LEN(B45)=0," ",COUNTA($B$30:B45))</f>
        <v>11</v>
      </c>
      <c r="B45" s="18">
        <v>11</v>
      </c>
      <c r="C45" s="4" t="s">
        <v>44</v>
      </c>
      <c r="D45" s="18" t="s">
        <v>62</v>
      </c>
      <c r="E45" s="18" t="s">
        <v>63</v>
      </c>
      <c r="F45" s="62">
        <f t="shared" si="0"/>
        <v>0.01</v>
      </c>
      <c r="G45" s="28">
        <f ca="1">Eval(E45)*F45</f>
        <v>0.13975000000000001</v>
      </c>
      <c r="H45" s="29">
        <f t="shared" si="3"/>
        <v>43</v>
      </c>
      <c r="I45" s="34">
        <f t="shared" ca="1" si="2"/>
        <v>6.0092500000000006</v>
      </c>
      <c r="J45" s="18" t="s">
        <v>4</v>
      </c>
    </row>
    <row r="46" spans="1:10">
      <c r="A46" s="18">
        <f>IF(LEN(B46)=0," ",COUNTA($B$30:B46))</f>
        <v>12</v>
      </c>
      <c r="B46" s="18">
        <v>12</v>
      </c>
      <c r="C46" s="4" t="s">
        <v>12</v>
      </c>
      <c r="D46" s="18"/>
      <c r="E46" s="22"/>
      <c r="F46" s="62"/>
      <c r="G46" s="28"/>
      <c r="H46" s="29"/>
      <c r="I46" s="34">
        <f ca="1">SUM(I47:I49)</f>
        <v>28.95534</v>
      </c>
      <c r="J46" s="18" t="s">
        <v>4</v>
      </c>
    </row>
    <row r="47" spans="1:10">
      <c r="A47" s="18"/>
      <c r="B47" s="18"/>
      <c r="C47" s="19" t="s">
        <v>45</v>
      </c>
      <c r="D47" s="18" t="s">
        <v>62</v>
      </c>
      <c r="E47" s="20" t="s">
        <v>66</v>
      </c>
      <c r="F47" s="62">
        <f t="shared" ref="F47:F52" si="4">VLOOKUP(J47,$R$2:$S$22,2,0)</f>
        <v>0.01</v>
      </c>
      <c r="G47" s="28">
        <f t="shared" ref="G47:G52" ca="1" si="5">Eval(E47)*F47</f>
        <v>0.33158000000000004</v>
      </c>
      <c r="H47" s="29">
        <f>$I$30</f>
        <v>43</v>
      </c>
      <c r="I47" s="34">
        <f t="shared" ref="I47:I52" ca="1" si="6">G47*H47</f>
        <v>14.257940000000001</v>
      </c>
      <c r="J47" s="18" t="s">
        <v>4</v>
      </c>
    </row>
    <row r="48" spans="1:10">
      <c r="A48" s="18"/>
      <c r="B48" s="18"/>
      <c r="C48" s="19" t="s">
        <v>46</v>
      </c>
      <c r="D48" s="18" t="s">
        <v>62</v>
      </c>
      <c r="E48" s="20" t="s">
        <v>65</v>
      </c>
      <c r="F48" s="62">
        <f t="shared" si="4"/>
        <v>0.01</v>
      </c>
      <c r="G48" s="28">
        <f t="shared" ca="1" si="5"/>
        <v>0.33039999999999997</v>
      </c>
      <c r="H48" s="29">
        <f>$I$30</f>
        <v>43</v>
      </c>
      <c r="I48" s="34">
        <f t="shared" ca="1" si="6"/>
        <v>14.207199999999998</v>
      </c>
      <c r="J48" s="18" t="s">
        <v>4</v>
      </c>
    </row>
    <row r="49" spans="1:10">
      <c r="A49" s="18"/>
      <c r="B49" s="18"/>
      <c r="C49" s="19" t="s">
        <v>47</v>
      </c>
      <c r="D49" s="18" t="s">
        <v>67</v>
      </c>
      <c r="E49" s="20" t="s">
        <v>68</v>
      </c>
      <c r="F49" s="62">
        <f t="shared" si="4"/>
        <v>0.01</v>
      </c>
      <c r="G49" s="28">
        <f t="shared" ca="1" si="5"/>
        <v>1.1399999999999999E-2</v>
      </c>
      <c r="H49" s="29">
        <f>$I$30</f>
        <v>43</v>
      </c>
      <c r="I49" s="34">
        <f t="shared" ca="1" si="6"/>
        <v>0.49019999999999997</v>
      </c>
      <c r="J49" s="18" t="s">
        <v>4</v>
      </c>
    </row>
    <row r="50" spans="1:10">
      <c r="A50" s="18">
        <f>IF(LEN(B50)=0," ",COUNTA($B$30:B50))</f>
        <v>13</v>
      </c>
      <c r="B50" s="18">
        <v>13</v>
      </c>
      <c r="C50" s="4" t="s">
        <v>48</v>
      </c>
      <c r="D50" s="18" t="s">
        <v>69</v>
      </c>
      <c r="E50" s="21" t="s">
        <v>70</v>
      </c>
      <c r="F50" s="62">
        <f t="shared" si="4"/>
        <v>0.01</v>
      </c>
      <c r="G50" s="28">
        <f t="shared" ca="1" si="5"/>
        <v>2.5400000000000002E-2</v>
      </c>
      <c r="H50" s="29">
        <f>$I$30*3</f>
        <v>129</v>
      </c>
      <c r="I50" s="34">
        <f t="shared" ca="1" si="6"/>
        <v>3.2766000000000002</v>
      </c>
      <c r="J50" s="18" t="s">
        <v>4</v>
      </c>
    </row>
    <row r="51" spans="1:10">
      <c r="A51" s="18">
        <f>IF(LEN(B51)=0," ",COUNTA($B$30:B51))</f>
        <v>14</v>
      </c>
      <c r="B51" s="18">
        <v>14</v>
      </c>
      <c r="C51" s="4" t="s">
        <v>49</v>
      </c>
      <c r="D51" s="18" t="s">
        <v>72</v>
      </c>
      <c r="E51" s="18" t="s">
        <v>73</v>
      </c>
      <c r="F51" s="62">
        <f t="shared" si="4"/>
        <v>1</v>
      </c>
      <c r="G51" s="28">
        <f t="shared" ca="1" si="5"/>
        <v>6</v>
      </c>
      <c r="H51" s="29">
        <f>$I$30</f>
        <v>43</v>
      </c>
      <c r="I51" s="34">
        <f t="shared" ca="1" si="6"/>
        <v>258</v>
      </c>
      <c r="J51" s="18" t="s">
        <v>2</v>
      </c>
    </row>
    <row r="52" spans="1:10">
      <c r="A52" s="18">
        <f>IF(LEN(B52)=0," ",COUNTA($B$30:B52))</f>
        <v>15</v>
      </c>
      <c r="B52" s="18">
        <v>15</v>
      </c>
      <c r="C52" s="4" t="s">
        <v>124</v>
      </c>
      <c r="D52" s="18" t="s">
        <v>71</v>
      </c>
      <c r="E52" s="20" t="s">
        <v>74</v>
      </c>
      <c r="F52" s="62">
        <f t="shared" si="4"/>
        <v>1</v>
      </c>
      <c r="G52" s="28">
        <f t="shared" ca="1" si="5"/>
        <v>7.4</v>
      </c>
      <c r="H52" s="29">
        <f>$I$30</f>
        <v>43</v>
      </c>
      <c r="I52" s="34">
        <f t="shared" ca="1" si="6"/>
        <v>318.2</v>
      </c>
      <c r="J52" s="18" t="s">
        <v>2</v>
      </c>
    </row>
    <row r="53" spans="1:10">
      <c r="A53" s="58" t="s">
        <v>75</v>
      </c>
      <c r="B53" s="58"/>
      <c r="C53" s="7" t="s">
        <v>309</v>
      </c>
      <c r="D53" s="88"/>
      <c r="E53" s="88"/>
      <c r="F53" s="63"/>
      <c r="G53" s="7"/>
      <c r="H53" s="17"/>
      <c r="I53" s="34">
        <v>1</v>
      </c>
      <c r="J53" s="88" t="s">
        <v>24</v>
      </c>
    </row>
    <row r="54" spans="1:10">
      <c r="A54" s="18">
        <f>IF(LEN(B54)=0," ",COUNTA($B$30:B54))</f>
        <v>16</v>
      </c>
      <c r="B54" s="18">
        <v>1</v>
      </c>
      <c r="C54" s="4" t="s">
        <v>33</v>
      </c>
      <c r="D54" s="72"/>
      <c r="E54" s="88"/>
      <c r="F54" s="62">
        <f t="shared" ref="F54:F68" si="7">VLOOKUP(J54,$R$2:$S$22,2,0)</f>
        <v>1</v>
      </c>
      <c r="G54" s="4"/>
      <c r="H54" s="29">
        <f t="shared" ref="H54:H60" si="8">$I$53</f>
        <v>1</v>
      </c>
      <c r="I54" s="34">
        <f ca="1">SUM(I55:I56)</f>
        <v>2.6018999999999997</v>
      </c>
      <c r="J54" s="72" t="s">
        <v>5</v>
      </c>
    </row>
    <row r="55" spans="1:10">
      <c r="A55" s="18"/>
      <c r="B55" s="18"/>
      <c r="C55" s="19" t="s">
        <v>342</v>
      </c>
      <c r="D55" s="72" t="s">
        <v>76</v>
      </c>
      <c r="E55" s="20" t="s">
        <v>310</v>
      </c>
      <c r="F55" s="62">
        <f t="shared" si="7"/>
        <v>1</v>
      </c>
      <c r="G55" s="23">
        <f ca="1">Eval(E55)*F55</f>
        <v>2.6753999999999998</v>
      </c>
      <c r="H55" s="29">
        <f t="shared" si="8"/>
        <v>1</v>
      </c>
      <c r="I55" s="34">
        <f ca="1">G55*H55</f>
        <v>2.6753999999999998</v>
      </c>
      <c r="J55" s="72" t="s">
        <v>5</v>
      </c>
    </row>
    <row r="56" spans="1:10">
      <c r="A56" s="18"/>
      <c r="B56" s="18"/>
      <c r="C56" s="19" t="s">
        <v>35</v>
      </c>
      <c r="D56" s="72" t="s">
        <v>55</v>
      </c>
      <c r="E56" s="25" t="s">
        <v>77</v>
      </c>
      <c r="F56" s="62">
        <f t="shared" si="7"/>
        <v>1</v>
      </c>
      <c r="G56" s="23">
        <f ca="1">Eval(E56)*F56</f>
        <v>-7.3499999999999996E-2</v>
      </c>
      <c r="H56" s="29">
        <f t="shared" si="8"/>
        <v>1</v>
      </c>
      <c r="I56" s="34">
        <f ca="1">G56*H56</f>
        <v>-7.3499999999999996E-2</v>
      </c>
      <c r="J56" s="72" t="s">
        <v>5</v>
      </c>
    </row>
    <row r="57" spans="1:10">
      <c r="A57" s="18">
        <f>IF(LEN(B57)=0," ",COUNTA($B$30:B57))</f>
        <v>17</v>
      </c>
      <c r="B57" s="18">
        <v>2</v>
      </c>
      <c r="C57" s="4" t="s">
        <v>36</v>
      </c>
      <c r="D57" s="72"/>
      <c r="E57" s="4"/>
      <c r="F57" s="62">
        <f t="shared" si="7"/>
        <v>1</v>
      </c>
      <c r="G57" s="23"/>
      <c r="H57" s="29">
        <f t="shared" si="8"/>
        <v>1</v>
      </c>
      <c r="I57" s="34">
        <f ca="1">SUM(I58:I59)</f>
        <v>12.752249999999998</v>
      </c>
      <c r="J57" s="72" t="s">
        <v>5</v>
      </c>
    </row>
    <row r="58" spans="1:10" s="5" customFormat="1">
      <c r="A58" s="18"/>
      <c r="B58" s="18"/>
      <c r="C58" s="19" t="s">
        <v>344</v>
      </c>
      <c r="D58" s="72" t="s">
        <v>54</v>
      </c>
      <c r="E58" s="24" t="s">
        <v>311</v>
      </c>
      <c r="F58" s="62">
        <f t="shared" si="7"/>
        <v>1</v>
      </c>
      <c r="G58" s="23">
        <f ca="1">Eval(E58)*F58</f>
        <v>12.788999999999998</v>
      </c>
      <c r="H58" s="29">
        <f t="shared" si="8"/>
        <v>1</v>
      </c>
      <c r="I58" s="34">
        <f t="shared" ref="I58:I68" ca="1" si="9">G58*H58</f>
        <v>12.788999999999998</v>
      </c>
      <c r="J58" s="72" t="s">
        <v>5</v>
      </c>
    </row>
    <row r="59" spans="1:10">
      <c r="A59" s="18"/>
      <c r="B59" s="18"/>
      <c r="C59" s="19" t="s">
        <v>35</v>
      </c>
      <c r="D59" s="72" t="s">
        <v>55</v>
      </c>
      <c r="E59" s="26" t="s">
        <v>78</v>
      </c>
      <c r="F59" s="62">
        <f t="shared" si="7"/>
        <v>1</v>
      </c>
      <c r="G59" s="23">
        <f ca="1">Eval(E59)*F59</f>
        <v>-3.6749999999999998E-2</v>
      </c>
      <c r="H59" s="29">
        <f t="shared" si="8"/>
        <v>1</v>
      </c>
      <c r="I59" s="34">
        <f t="shared" ca="1" si="9"/>
        <v>-3.6749999999999998E-2</v>
      </c>
      <c r="J59" s="72" t="s">
        <v>5</v>
      </c>
    </row>
    <row r="60" spans="1:10">
      <c r="A60" s="18">
        <f>IF(LEN(B60)=0," ",COUNTA($B$30:B60))</f>
        <v>18</v>
      </c>
      <c r="B60" s="18">
        <v>3</v>
      </c>
      <c r="C60" s="4" t="s">
        <v>37</v>
      </c>
      <c r="D60" s="72" t="s">
        <v>56</v>
      </c>
      <c r="E60" s="75" t="s">
        <v>312</v>
      </c>
      <c r="F60" s="62">
        <f t="shared" si="7"/>
        <v>1</v>
      </c>
      <c r="G60" s="23">
        <f ca="1">Eval(E60)*F60</f>
        <v>7.8814400000000004</v>
      </c>
      <c r="H60" s="29">
        <f t="shared" si="8"/>
        <v>1</v>
      </c>
      <c r="I60" s="34">
        <f t="shared" ca="1" si="9"/>
        <v>7.8814400000000004</v>
      </c>
      <c r="J60" s="72" t="s">
        <v>5</v>
      </c>
    </row>
    <row r="61" spans="1:10">
      <c r="A61" s="18">
        <f>IF(LEN(B61)=0," ",COUNTA($B$30:B61))</f>
        <v>19</v>
      </c>
      <c r="B61" s="18">
        <v>4</v>
      </c>
      <c r="C61" s="4" t="s">
        <v>38</v>
      </c>
      <c r="D61" s="72" t="s">
        <v>57</v>
      </c>
      <c r="E61" s="21" t="s">
        <v>58</v>
      </c>
      <c r="F61" s="62">
        <f t="shared" si="7"/>
        <v>1</v>
      </c>
      <c r="G61" s="23">
        <f ca="1">Eval(E61)*F61</f>
        <v>0.38100000000000001</v>
      </c>
      <c r="H61" s="29">
        <f>$I$53*2</f>
        <v>2</v>
      </c>
      <c r="I61" s="34">
        <f t="shared" ca="1" si="9"/>
        <v>0.76200000000000001</v>
      </c>
      <c r="J61" s="72" t="s">
        <v>5</v>
      </c>
    </row>
    <row r="62" spans="1:10">
      <c r="A62" s="18">
        <f>IF(LEN(B62)=0," ",COUNTA($B$30:B62))</f>
        <v>20</v>
      </c>
      <c r="B62" s="18">
        <v>5</v>
      </c>
      <c r="C62" s="4" t="s">
        <v>39</v>
      </c>
      <c r="D62" s="342" t="s">
        <v>59</v>
      </c>
      <c r="E62" s="343"/>
      <c r="F62" s="62">
        <f t="shared" si="7"/>
        <v>1E-3</v>
      </c>
      <c r="G62" s="4">
        <f>18.97*F62</f>
        <v>1.8970000000000001E-2</v>
      </c>
      <c r="H62" s="29">
        <f t="shared" ref="H62:H71" si="10">$I$53</f>
        <v>1</v>
      </c>
      <c r="I62" s="34">
        <f t="shared" si="9"/>
        <v>1.8970000000000001E-2</v>
      </c>
      <c r="J62" s="72" t="s">
        <v>10</v>
      </c>
    </row>
    <row r="63" spans="1:10">
      <c r="A63" s="18">
        <f>IF(LEN(B63)=0," ",COUNTA($B$30:B63))</f>
        <v>21</v>
      </c>
      <c r="B63" s="18">
        <v>6</v>
      </c>
      <c r="C63" s="4" t="s">
        <v>40</v>
      </c>
      <c r="D63" s="342" t="s">
        <v>59</v>
      </c>
      <c r="E63" s="343"/>
      <c r="F63" s="62">
        <f t="shared" si="7"/>
        <v>1E-3</v>
      </c>
      <c r="G63" s="4">
        <f>815.53*F63</f>
        <v>0.81552999999999998</v>
      </c>
      <c r="H63" s="29">
        <f t="shared" si="10"/>
        <v>1</v>
      </c>
      <c r="I63" s="34">
        <f t="shared" si="9"/>
        <v>0.81552999999999998</v>
      </c>
      <c r="J63" s="72" t="s">
        <v>10</v>
      </c>
    </row>
    <row r="64" spans="1:10">
      <c r="A64" s="18">
        <f>IF(LEN(B64)=0," ",COUNTA($B$30:B64))</f>
        <v>22</v>
      </c>
      <c r="B64" s="18">
        <v>7</v>
      </c>
      <c r="C64" s="4" t="s">
        <v>41</v>
      </c>
      <c r="D64" s="342" t="s">
        <v>59</v>
      </c>
      <c r="E64" s="343"/>
      <c r="F64" s="62">
        <f t="shared" si="7"/>
        <v>1E-3</v>
      </c>
      <c r="G64" s="28">
        <f>19.37*F64</f>
        <v>1.9370000000000002E-2</v>
      </c>
      <c r="H64" s="29">
        <f t="shared" si="10"/>
        <v>1</v>
      </c>
      <c r="I64" s="34">
        <f t="shared" si="9"/>
        <v>1.9370000000000002E-2</v>
      </c>
      <c r="J64" s="72" t="s">
        <v>10</v>
      </c>
    </row>
    <row r="65" spans="1:10">
      <c r="A65" s="18">
        <f>IF(LEN(B65)=0," ",COUNTA($B$30:B65))</f>
        <v>23</v>
      </c>
      <c r="B65" s="18">
        <v>8</v>
      </c>
      <c r="C65" s="4" t="s">
        <v>42</v>
      </c>
      <c r="D65" s="342" t="s">
        <v>59</v>
      </c>
      <c r="E65" s="343"/>
      <c r="F65" s="62">
        <f t="shared" si="7"/>
        <v>1E-3</v>
      </c>
      <c r="G65" s="28">
        <f>502.22*F65</f>
        <v>0.50222</v>
      </c>
      <c r="H65" s="29">
        <f t="shared" si="10"/>
        <v>1</v>
      </c>
      <c r="I65" s="34">
        <f t="shared" si="9"/>
        <v>0.50222</v>
      </c>
      <c r="J65" s="72" t="s">
        <v>10</v>
      </c>
    </row>
    <row r="66" spans="1:10">
      <c r="A66" s="18">
        <f>IF(LEN(B66)=0," ",COUNTA($B$30:B66))</f>
        <v>24</v>
      </c>
      <c r="B66" s="18">
        <v>9</v>
      </c>
      <c r="C66" s="4" t="s">
        <v>61</v>
      </c>
      <c r="D66" s="342" t="s">
        <v>59</v>
      </c>
      <c r="E66" s="343"/>
      <c r="F66" s="62">
        <f t="shared" si="7"/>
        <v>1E-3</v>
      </c>
      <c r="G66" s="28">
        <f>100.58*F66</f>
        <v>0.10058</v>
      </c>
      <c r="H66" s="29">
        <f t="shared" si="10"/>
        <v>1</v>
      </c>
      <c r="I66" s="34">
        <f t="shared" si="9"/>
        <v>0.10058</v>
      </c>
      <c r="J66" s="72" t="s">
        <v>10</v>
      </c>
    </row>
    <row r="67" spans="1:10">
      <c r="A67" s="18">
        <f>IF(LEN(B67)=0," ",COUNTA($B$30:B67))</f>
        <v>25</v>
      </c>
      <c r="B67" s="18">
        <v>10</v>
      </c>
      <c r="C67" s="4" t="s">
        <v>43</v>
      </c>
      <c r="D67" s="72" t="s">
        <v>79</v>
      </c>
      <c r="E67" s="89" t="s">
        <v>313</v>
      </c>
      <c r="F67" s="62">
        <f t="shared" si="7"/>
        <v>0.01</v>
      </c>
      <c r="G67" s="28">
        <f ca="1">Eval(E67)*F67</f>
        <v>1.6310000000000002E-2</v>
      </c>
      <c r="H67" s="29">
        <f t="shared" si="10"/>
        <v>1</v>
      </c>
      <c r="I67" s="34">
        <f t="shared" ca="1" si="9"/>
        <v>1.6310000000000002E-2</v>
      </c>
      <c r="J67" s="72" t="s">
        <v>4</v>
      </c>
    </row>
    <row r="68" spans="1:10">
      <c r="A68" s="18">
        <f>IF(LEN(B68)=0," ",COUNTA($B$30:B68))</f>
        <v>26</v>
      </c>
      <c r="B68" s="18">
        <v>11</v>
      </c>
      <c r="C68" s="4" t="s">
        <v>44</v>
      </c>
      <c r="D68" s="72" t="s">
        <v>62</v>
      </c>
      <c r="E68" s="90" t="s">
        <v>314</v>
      </c>
      <c r="F68" s="62">
        <f t="shared" si="7"/>
        <v>0.01</v>
      </c>
      <c r="G68" s="28">
        <f ca="1">Eval(E68)*F68</f>
        <v>8.0549999999999997E-2</v>
      </c>
      <c r="H68" s="29">
        <f t="shared" si="10"/>
        <v>1</v>
      </c>
      <c r="I68" s="34">
        <f t="shared" ca="1" si="9"/>
        <v>8.0549999999999997E-2</v>
      </c>
      <c r="J68" s="72" t="s">
        <v>4</v>
      </c>
    </row>
    <row r="69" spans="1:10">
      <c r="A69" s="18">
        <f>IF(LEN(B69)=0," ",COUNTA($B$30:B69))</f>
        <v>27</v>
      </c>
      <c r="B69" s="18">
        <v>12</v>
      </c>
      <c r="C69" s="4" t="s">
        <v>12</v>
      </c>
      <c r="D69" s="72"/>
      <c r="E69" s="22"/>
      <c r="F69" s="62"/>
      <c r="G69" s="28"/>
      <c r="H69" s="29">
        <f t="shared" si="10"/>
        <v>1</v>
      </c>
      <c r="I69" s="34">
        <f ca="1">SUM(I70:I72)</f>
        <v>0.40597569999999994</v>
      </c>
      <c r="J69" s="72" t="s">
        <v>4</v>
      </c>
    </row>
    <row r="70" spans="1:10">
      <c r="A70" s="18"/>
      <c r="B70" s="18"/>
      <c r="C70" s="19" t="s">
        <v>45</v>
      </c>
      <c r="D70" s="72" t="s">
        <v>62</v>
      </c>
      <c r="E70" s="20" t="s">
        <v>315</v>
      </c>
      <c r="F70" s="62">
        <f t="shared" ref="F70:F75" si="11">VLOOKUP(J70,$R$2:$S$22,2,0)</f>
        <v>0.01</v>
      </c>
      <c r="G70" s="28">
        <f t="shared" ref="G70:G75" ca="1" si="12">Eval(E70)*F70</f>
        <v>0.19773969999999999</v>
      </c>
      <c r="H70" s="29">
        <f t="shared" si="10"/>
        <v>1</v>
      </c>
      <c r="I70" s="34">
        <f t="shared" ref="I70:I75" ca="1" si="13">G70*H70</f>
        <v>0.19773969999999999</v>
      </c>
      <c r="J70" s="72" t="s">
        <v>4</v>
      </c>
    </row>
    <row r="71" spans="1:10">
      <c r="A71" s="18"/>
      <c r="B71" s="18"/>
      <c r="C71" s="19" t="s">
        <v>46</v>
      </c>
      <c r="D71" s="72" t="s">
        <v>62</v>
      </c>
      <c r="E71" s="20" t="s">
        <v>316</v>
      </c>
      <c r="F71" s="62">
        <f t="shared" si="11"/>
        <v>0.01</v>
      </c>
      <c r="G71" s="28">
        <f t="shared" ca="1" si="12"/>
        <v>0.19703599999999999</v>
      </c>
      <c r="H71" s="29">
        <f t="shared" si="10"/>
        <v>1</v>
      </c>
      <c r="I71" s="34">
        <f t="shared" ca="1" si="13"/>
        <v>0.19703599999999999</v>
      </c>
      <c r="J71" s="72" t="s">
        <v>4</v>
      </c>
    </row>
    <row r="72" spans="1:10">
      <c r="A72" s="18"/>
      <c r="B72" s="18"/>
      <c r="C72" s="19" t="s">
        <v>47</v>
      </c>
      <c r="D72" s="72" t="s">
        <v>67</v>
      </c>
      <c r="E72" s="30" t="s">
        <v>317</v>
      </c>
      <c r="F72" s="62">
        <f t="shared" si="11"/>
        <v>0.01</v>
      </c>
      <c r="G72" s="28">
        <f t="shared" ca="1" si="12"/>
        <v>1.1200000000000002E-2</v>
      </c>
      <c r="H72" s="29">
        <v>1</v>
      </c>
      <c r="I72" s="34">
        <f ca="1">G72*H72</f>
        <v>1.1200000000000002E-2</v>
      </c>
      <c r="J72" s="72" t="s">
        <v>4</v>
      </c>
    </row>
    <row r="73" spans="1:10">
      <c r="A73" s="18">
        <f>IF(LEN(B73)=0," ",COUNTA($B$30:B73))</f>
        <v>28</v>
      </c>
      <c r="B73" s="18">
        <v>13</v>
      </c>
      <c r="C73" s="4" t="s">
        <v>48</v>
      </c>
      <c r="D73" s="72" t="s">
        <v>69</v>
      </c>
      <c r="E73" s="21" t="s">
        <v>70</v>
      </c>
      <c r="F73" s="62">
        <f t="shared" si="11"/>
        <v>0.01</v>
      </c>
      <c r="G73" s="28">
        <f t="shared" ca="1" si="12"/>
        <v>2.5400000000000002E-2</v>
      </c>
      <c r="H73" s="29">
        <f>$I$53*2</f>
        <v>2</v>
      </c>
      <c r="I73" s="34">
        <f t="shared" ca="1" si="13"/>
        <v>5.0800000000000005E-2</v>
      </c>
      <c r="J73" s="72" t="s">
        <v>4</v>
      </c>
    </row>
    <row r="74" spans="1:10">
      <c r="A74" s="18">
        <f>IF(LEN(B74)=0," ",COUNTA($B$30:B74))</f>
        <v>29</v>
      </c>
      <c r="B74" s="18">
        <v>14</v>
      </c>
      <c r="C74" s="4" t="s">
        <v>49</v>
      </c>
      <c r="D74" s="72" t="s">
        <v>72</v>
      </c>
      <c r="E74" s="72" t="s">
        <v>80</v>
      </c>
      <c r="F74" s="62">
        <f t="shared" si="11"/>
        <v>1</v>
      </c>
      <c r="G74" s="28">
        <f t="shared" ca="1" si="12"/>
        <v>3.5</v>
      </c>
      <c r="H74" s="29">
        <f>$I$53</f>
        <v>1</v>
      </c>
      <c r="I74" s="34">
        <f t="shared" ca="1" si="13"/>
        <v>3.5</v>
      </c>
      <c r="J74" s="72" t="s">
        <v>2</v>
      </c>
    </row>
    <row r="75" spans="1:10">
      <c r="A75" s="18">
        <f>IF(LEN(B75)=0," ",COUNTA($B$30:B75))</f>
        <v>30</v>
      </c>
      <c r="B75" s="18">
        <v>15</v>
      </c>
      <c r="C75" s="4" t="s">
        <v>124</v>
      </c>
      <c r="D75" s="72" t="s">
        <v>71</v>
      </c>
      <c r="E75" s="20" t="s">
        <v>74</v>
      </c>
      <c r="F75" s="62">
        <f t="shared" si="11"/>
        <v>1</v>
      </c>
      <c r="G75" s="28">
        <f t="shared" ca="1" si="12"/>
        <v>7.4</v>
      </c>
      <c r="H75" s="29">
        <f>$I$53</f>
        <v>1</v>
      </c>
      <c r="I75" s="34">
        <f t="shared" ca="1" si="13"/>
        <v>7.4</v>
      </c>
      <c r="J75" s="72" t="s">
        <v>2</v>
      </c>
    </row>
    <row r="76" spans="1:10">
      <c r="A76" s="58" t="s">
        <v>81</v>
      </c>
      <c r="B76" s="58"/>
      <c r="C76" s="7" t="s">
        <v>318</v>
      </c>
      <c r="D76" s="88"/>
      <c r="E76" s="88"/>
      <c r="F76" s="63"/>
      <c r="G76" s="7"/>
      <c r="H76" s="17"/>
      <c r="I76" s="34">
        <v>1</v>
      </c>
      <c r="J76" s="88" t="s">
        <v>24</v>
      </c>
    </row>
    <row r="77" spans="1:10">
      <c r="A77" s="18">
        <f>IF(LEN(B77)=0," ",COUNTA($B$30:B77))</f>
        <v>31</v>
      </c>
      <c r="B77" s="18">
        <v>1</v>
      </c>
      <c r="C77" s="4" t="s">
        <v>33</v>
      </c>
      <c r="D77" s="72"/>
      <c r="E77" s="88"/>
      <c r="F77" s="62">
        <f t="shared" ref="F77:F91" si="14">VLOOKUP(J77,$R$2:$S$22,2,0)</f>
        <v>1</v>
      </c>
      <c r="G77" s="4"/>
      <c r="H77" s="29">
        <f t="shared" ref="H77:H83" si="15">$I$76</f>
        <v>1</v>
      </c>
      <c r="I77" s="34">
        <f ca="1">SUM(I78:I79)</f>
        <v>4.9539699999999991</v>
      </c>
      <c r="J77" s="72" t="s">
        <v>5</v>
      </c>
    </row>
    <row r="78" spans="1:10">
      <c r="A78" s="18"/>
      <c r="B78" s="18"/>
      <c r="C78" s="19" t="s">
        <v>342</v>
      </c>
      <c r="D78" s="72" t="s">
        <v>76</v>
      </c>
      <c r="E78" s="20" t="s">
        <v>319</v>
      </c>
      <c r="F78" s="62">
        <f t="shared" si="14"/>
        <v>1</v>
      </c>
      <c r="G78" s="23">
        <f ca="1">Eval(E78)*F78</f>
        <v>5.0887199999999995</v>
      </c>
      <c r="H78" s="29">
        <f t="shared" si="15"/>
        <v>1</v>
      </c>
      <c r="I78" s="34">
        <f ca="1">G78*H78</f>
        <v>5.0887199999999995</v>
      </c>
      <c r="J78" s="72" t="s">
        <v>5</v>
      </c>
    </row>
    <row r="79" spans="1:10">
      <c r="A79" s="18"/>
      <c r="B79" s="18"/>
      <c r="C79" s="19" t="s">
        <v>35</v>
      </c>
      <c r="D79" s="72" t="s">
        <v>55</v>
      </c>
      <c r="E79" s="25" t="s">
        <v>51</v>
      </c>
      <c r="F79" s="62">
        <f t="shared" si="14"/>
        <v>1</v>
      </c>
      <c r="G79" s="23">
        <f ca="1">Eval(E79)*F79</f>
        <v>-0.13474999999999998</v>
      </c>
      <c r="H79" s="29">
        <f t="shared" si="15"/>
        <v>1</v>
      </c>
      <c r="I79" s="34">
        <f ca="1">G79*H79</f>
        <v>-0.13474999999999998</v>
      </c>
      <c r="J79" s="72" t="s">
        <v>5</v>
      </c>
    </row>
    <row r="80" spans="1:10">
      <c r="A80" s="18">
        <f>IF(LEN(B80)=0," ",COUNTA($B$30:B80))</f>
        <v>32</v>
      </c>
      <c r="B80" s="18">
        <v>2</v>
      </c>
      <c r="C80" s="4" t="s">
        <v>36</v>
      </c>
      <c r="D80" s="72"/>
      <c r="E80" s="4"/>
      <c r="F80" s="62">
        <f t="shared" si="14"/>
        <v>1</v>
      </c>
      <c r="G80" s="23"/>
      <c r="H80" s="29">
        <f t="shared" si="15"/>
        <v>1</v>
      </c>
      <c r="I80" s="34">
        <f ca="1">SUM(I81:I82)</f>
        <v>24.257824999999997</v>
      </c>
      <c r="J80" s="72" t="s">
        <v>5</v>
      </c>
    </row>
    <row r="81" spans="1:10" s="5" customFormat="1">
      <c r="A81" s="18"/>
      <c r="B81" s="18"/>
      <c r="C81" s="19" t="s">
        <v>344</v>
      </c>
      <c r="D81" s="72" t="s">
        <v>54</v>
      </c>
      <c r="E81" s="24" t="s">
        <v>320</v>
      </c>
      <c r="F81" s="62">
        <f t="shared" si="14"/>
        <v>1</v>
      </c>
      <c r="G81" s="23">
        <f ca="1">Eval(E81)*F81</f>
        <v>24.325199999999995</v>
      </c>
      <c r="H81" s="29">
        <f t="shared" si="15"/>
        <v>1</v>
      </c>
      <c r="I81" s="34">
        <f t="shared" ref="I81:I91" ca="1" si="16">G81*H81</f>
        <v>24.325199999999995</v>
      </c>
      <c r="J81" s="72" t="s">
        <v>5</v>
      </c>
    </row>
    <row r="82" spans="1:10">
      <c r="A82" s="18"/>
      <c r="B82" s="18"/>
      <c r="C82" s="19" t="s">
        <v>35</v>
      </c>
      <c r="D82" s="72" t="s">
        <v>55</v>
      </c>
      <c r="E82" s="26" t="s">
        <v>52</v>
      </c>
      <c r="F82" s="62">
        <f t="shared" si="14"/>
        <v>1</v>
      </c>
      <c r="G82" s="23">
        <f ca="1">Eval(E82)*F82</f>
        <v>-6.737499999999999E-2</v>
      </c>
      <c r="H82" s="29">
        <f t="shared" si="15"/>
        <v>1</v>
      </c>
      <c r="I82" s="34">
        <f t="shared" ca="1" si="16"/>
        <v>-6.737499999999999E-2</v>
      </c>
      <c r="J82" s="72" t="s">
        <v>5</v>
      </c>
    </row>
    <row r="83" spans="1:10">
      <c r="A83" s="18">
        <f>IF(LEN(B83)=0," ",COUNTA($B$30:B83))</f>
        <v>33</v>
      </c>
      <c r="B83" s="18">
        <v>3</v>
      </c>
      <c r="C83" s="4" t="s">
        <v>37</v>
      </c>
      <c r="D83" s="72" t="s">
        <v>56</v>
      </c>
      <c r="E83" s="75" t="s">
        <v>321</v>
      </c>
      <c r="F83" s="62">
        <f t="shared" si="14"/>
        <v>1</v>
      </c>
      <c r="G83" s="23">
        <f ca="1">Eval(E83)*F83</f>
        <v>11.810400000000001</v>
      </c>
      <c r="H83" s="29">
        <f t="shared" si="15"/>
        <v>1</v>
      </c>
      <c r="I83" s="34">
        <f t="shared" ca="1" si="16"/>
        <v>11.810400000000001</v>
      </c>
      <c r="J83" s="72" t="s">
        <v>5</v>
      </c>
    </row>
    <row r="84" spans="1:10">
      <c r="A84" s="18">
        <f>IF(LEN(B84)=0," ",COUNTA($B$30:B84))</f>
        <v>34</v>
      </c>
      <c r="B84" s="18">
        <v>4</v>
      </c>
      <c r="C84" s="4" t="s">
        <v>38</v>
      </c>
      <c r="D84" s="72" t="s">
        <v>57</v>
      </c>
      <c r="E84" s="21" t="s">
        <v>58</v>
      </c>
      <c r="F84" s="62">
        <f t="shared" si="14"/>
        <v>1</v>
      </c>
      <c r="G84" s="23">
        <f ca="1">Eval(E84)*F84</f>
        <v>0.38100000000000001</v>
      </c>
      <c r="H84" s="29">
        <f>$I$76*3</f>
        <v>3</v>
      </c>
      <c r="I84" s="34">
        <f t="shared" ca="1" si="16"/>
        <v>1.143</v>
      </c>
      <c r="J84" s="72" t="s">
        <v>5</v>
      </c>
    </row>
    <row r="85" spans="1:10">
      <c r="A85" s="18">
        <f>IF(LEN(B85)=0," ",COUNTA($B$30:B85))</f>
        <v>35</v>
      </c>
      <c r="B85" s="18">
        <v>5</v>
      </c>
      <c r="C85" s="4" t="s">
        <v>39</v>
      </c>
      <c r="D85" s="342" t="s">
        <v>59</v>
      </c>
      <c r="E85" s="343"/>
      <c r="F85" s="62">
        <f t="shared" si="14"/>
        <v>1E-3</v>
      </c>
      <c r="G85" s="4">
        <f>38.32*F85</f>
        <v>3.832E-2</v>
      </c>
      <c r="H85" s="29">
        <f t="shared" ref="H85:H95" si="17">$I$76</f>
        <v>1</v>
      </c>
      <c r="I85" s="34">
        <f t="shared" si="16"/>
        <v>3.832E-2</v>
      </c>
      <c r="J85" s="72" t="s">
        <v>10</v>
      </c>
    </row>
    <row r="86" spans="1:10">
      <c r="A86" s="18">
        <f>IF(LEN(B86)=0," ",COUNTA($B$30:B86))</f>
        <v>36</v>
      </c>
      <c r="B86" s="18">
        <v>6</v>
      </c>
      <c r="C86" s="4" t="s">
        <v>40</v>
      </c>
      <c r="D86" s="342" t="s">
        <v>59</v>
      </c>
      <c r="E86" s="343"/>
      <c r="F86" s="62">
        <f t="shared" si="14"/>
        <v>1E-3</v>
      </c>
      <c r="G86" s="4">
        <f>1362.77*F86</f>
        <v>1.36277</v>
      </c>
      <c r="H86" s="29">
        <f t="shared" si="17"/>
        <v>1</v>
      </c>
      <c r="I86" s="34">
        <f t="shared" si="16"/>
        <v>1.36277</v>
      </c>
      <c r="J86" s="72" t="s">
        <v>10</v>
      </c>
    </row>
    <row r="87" spans="1:10">
      <c r="A87" s="18">
        <f>IF(LEN(B87)=0," ",COUNTA($B$30:B87))</f>
        <v>37</v>
      </c>
      <c r="B87" s="18">
        <v>7</v>
      </c>
      <c r="C87" s="4" t="s">
        <v>41</v>
      </c>
      <c r="D87" s="342" t="s">
        <v>59</v>
      </c>
      <c r="E87" s="343"/>
      <c r="F87" s="62">
        <f t="shared" si="14"/>
        <v>1E-3</v>
      </c>
      <c r="G87" s="28">
        <f>29.93*F87</f>
        <v>2.9930000000000002E-2</v>
      </c>
      <c r="H87" s="29">
        <f t="shared" si="17"/>
        <v>1</v>
      </c>
      <c r="I87" s="34">
        <f t="shared" si="16"/>
        <v>2.9930000000000002E-2</v>
      </c>
      <c r="J87" s="72" t="s">
        <v>10</v>
      </c>
    </row>
    <row r="88" spans="1:10">
      <c r="A88" s="18">
        <f>IF(LEN(B88)=0," ",COUNTA($B$30:B88))</f>
        <v>38</v>
      </c>
      <c r="B88" s="18">
        <v>8</v>
      </c>
      <c r="C88" s="4" t="s">
        <v>42</v>
      </c>
      <c r="D88" s="342" t="s">
        <v>59</v>
      </c>
      <c r="E88" s="343"/>
      <c r="F88" s="62">
        <f t="shared" si="14"/>
        <v>1E-3</v>
      </c>
      <c r="G88" s="28">
        <f>745.29*F88</f>
        <v>0.74529000000000001</v>
      </c>
      <c r="H88" s="29">
        <f t="shared" si="17"/>
        <v>1</v>
      </c>
      <c r="I88" s="34">
        <f t="shared" si="16"/>
        <v>0.74529000000000001</v>
      </c>
      <c r="J88" s="72" t="s">
        <v>10</v>
      </c>
    </row>
    <row r="89" spans="1:10">
      <c r="A89" s="18">
        <f>IF(LEN(B89)=0," ",COUNTA($B$30:B89))</f>
        <v>39</v>
      </c>
      <c r="B89" s="18">
        <v>9</v>
      </c>
      <c r="C89" s="4" t="s">
        <v>61</v>
      </c>
      <c r="D89" s="342" t="s">
        <v>59</v>
      </c>
      <c r="E89" s="343"/>
      <c r="F89" s="62">
        <f t="shared" si="14"/>
        <v>1E-3</v>
      </c>
      <c r="G89" s="28">
        <f>150.87*F89</f>
        <v>0.15087</v>
      </c>
      <c r="H89" s="29">
        <f t="shared" si="17"/>
        <v>1</v>
      </c>
      <c r="I89" s="34">
        <f t="shared" si="16"/>
        <v>0.15087</v>
      </c>
      <c r="J89" s="72" t="s">
        <v>10</v>
      </c>
    </row>
    <row r="90" spans="1:10">
      <c r="A90" s="18">
        <f>IF(LEN(B90)=0," ",COUNTA($B$30:B90))</f>
        <v>40</v>
      </c>
      <c r="B90" s="18">
        <v>10</v>
      </c>
      <c r="C90" s="4" t="s">
        <v>43</v>
      </c>
      <c r="D90" s="72" t="s">
        <v>79</v>
      </c>
      <c r="E90" s="21" t="s">
        <v>322</v>
      </c>
      <c r="F90" s="62">
        <f t="shared" si="14"/>
        <v>0.01</v>
      </c>
      <c r="G90" s="28">
        <f ca="1">Eval(E90)*F90</f>
        <v>2.5658000000000004E-2</v>
      </c>
      <c r="H90" s="29">
        <f t="shared" si="17"/>
        <v>1</v>
      </c>
      <c r="I90" s="34">
        <f t="shared" ca="1" si="16"/>
        <v>2.5658000000000004E-2</v>
      </c>
      <c r="J90" s="72" t="s">
        <v>4</v>
      </c>
    </row>
    <row r="91" spans="1:10">
      <c r="A91" s="18">
        <f>IF(LEN(B91)=0," ",COUNTA($B$30:B91))</f>
        <v>41</v>
      </c>
      <c r="B91" s="18">
        <v>11</v>
      </c>
      <c r="C91" s="4" t="s">
        <v>44</v>
      </c>
      <c r="D91" s="72" t="s">
        <v>62</v>
      </c>
      <c r="E91" s="72" t="s">
        <v>323</v>
      </c>
      <c r="F91" s="62">
        <f t="shared" si="14"/>
        <v>0.01</v>
      </c>
      <c r="G91" s="28">
        <f ca="1">Eval(E91)*F91</f>
        <v>0.12728999999999999</v>
      </c>
      <c r="H91" s="29">
        <f t="shared" si="17"/>
        <v>1</v>
      </c>
      <c r="I91" s="34">
        <f t="shared" ca="1" si="16"/>
        <v>0.12728999999999999</v>
      </c>
      <c r="J91" s="72" t="s">
        <v>4</v>
      </c>
    </row>
    <row r="92" spans="1:10">
      <c r="A92" s="18">
        <f>IF(LEN(B92)=0," ",COUNTA($B$30:B92))</f>
        <v>42</v>
      </c>
      <c r="B92" s="18">
        <v>12</v>
      </c>
      <c r="C92" s="4" t="s">
        <v>12</v>
      </c>
      <c r="D92" s="72"/>
      <c r="E92" s="22"/>
      <c r="F92" s="62"/>
      <c r="G92" s="28"/>
      <c r="H92" s="29">
        <f t="shared" si="17"/>
        <v>1</v>
      </c>
      <c r="I92" s="34">
        <f ca="1">SUM(I93:I95)</f>
        <v>0.60327940000000002</v>
      </c>
      <c r="J92" s="72" t="s">
        <v>4</v>
      </c>
    </row>
    <row r="93" spans="1:10">
      <c r="A93" s="18"/>
      <c r="B93" s="18"/>
      <c r="C93" s="19" t="s">
        <v>45</v>
      </c>
      <c r="D93" s="72" t="s">
        <v>62</v>
      </c>
      <c r="E93" s="20" t="s">
        <v>324</v>
      </c>
      <c r="F93" s="62">
        <f t="shared" ref="F93:F98" si="18">VLOOKUP(J93,$R$2:$S$22,2,0)</f>
        <v>0.01</v>
      </c>
      <c r="G93" s="28">
        <f t="shared" ref="G93:G98" ca="1" si="19">Eval(E93)*F93</f>
        <v>0.29656740000000004</v>
      </c>
      <c r="H93" s="29">
        <f t="shared" si="17"/>
        <v>1</v>
      </c>
      <c r="I93" s="34">
        <f t="shared" ref="I93:I98" ca="1" si="20">G93*H93</f>
        <v>0.29656740000000004</v>
      </c>
      <c r="J93" s="72" t="s">
        <v>4</v>
      </c>
    </row>
    <row r="94" spans="1:10">
      <c r="A94" s="18"/>
      <c r="B94" s="18"/>
      <c r="C94" s="19" t="s">
        <v>46</v>
      </c>
      <c r="D94" s="72" t="s">
        <v>62</v>
      </c>
      <c r="E94" s="20" t="s">
        <v>325</v>
      </c>
      <c r="F94" s="62">
        <f t="shared" si="18"/>
        <v>0.01</v>
      </c>
      <c r="G94" s="28">
        <f t="shared" ca="1" si="19"/>
        <v>0.295512</v>
      </c>
      <c r="H94" s="29">
        <f t="shared" si="17"/>
        <v>1</v>
      </c>
      <c r="I94" s="34">
        <f t="shared" ca="1" si="20"/>
        <v>0.295512</v>
      </c>
      <c r="J94" s="72" t="s">
        <v>4</v>
      </c>
    </row>
    <row r="95" spans="1:10">
      <c r="A95" s="18"/>
      <c r="B95" s="18"/>
      <c r="C95" s="19" t="s">
        <v>47</v>
      </c>
      <c r="D95" s="72" t="s">
        <v>67</v>
      </c>
      <c r="E95" s="30" t="s">
        <v>317</v>
      </c>
      <c r="F95" s="62">
        <f t="shared" si="18"/>
        <v>0.01</v>
      </c>
      <c r="G95" s="28">
        <f t="shared" ca="1" si="19"/>
        <v>1.1200000000000002E-2</v>
      </c>
      <c r="H95" s="29">
        <f t="shared" si="17"/>
        <v>1</v>
      </c>
      <c r="I95" s="34">
        <f t="shared" ca="1" si="20"/>
        <v>1.1200000000000002E-2</v>
      </c>
      <c r="J95" s="72" t="s">
        <v>4</v>
      </c>
    </row>
    <row r="96" spans="1:10">
      <c r="A96" s="18">
        <f>IF(LEN(B96)=0," ",COUNTA($B$30:B96))</f>
        <v>43</v>
      </c>
      <c r="B96" s="18">
        <v>13</v>
      </c>
      <c r="C96" s="4" t="s">
        <v>48</v>
      </c>
      <c r="D96" s="72" t="s">
        <v>69</v>
      </c>
      <c r="E96" s="21" t="s">
        <v>70</v>
      </c>
      <c r="F96" s="62">
        <f t="shared" si="18"/>
        <v>0.01</v>
      </c>
      <c r="G96" s="28">
        <f t="shared" ca="1" si="19"/>
        <v>2.5400000000000002E-2</v>
      </c>
      <c r="H96" s="29">
        <f>$I$76*3</f>
        <v>3</v>
      </c>
      <c r="I96" s="34">
        <f t="shared" ca="1" si="20"/>
        <v>7.6200000000000004E-2</v>
      </c>
      <c r="J96" s="72" t="s">
        <v>4</v>
      </c>
    </row>
    <row r="97" spans="1:10">
      <c r="A97" s="18">
        <f>IF(LEN(B97)=0," ",COUNTA($B$30:B97))</f>
        <v>44</v>
      </c>
      <c r="B97" s="18">
        <v>14</v>
      </c>
      <c r="C97" s="4" t="s">
        <v>49</v>
      </c>
      <c r="D97" s="72" t="s">
        <v>72</v>
      </c>
      <c r="E97" s="72" t="s">
        <v>82</v>
      </c>
      <c r="F97" s="62">
        <f t="shared" si="18"/>
        <v>1</v>
      </c>
      <c r="G97" s="28">
        <f t="shared" ca="1" si="19"/>
        <v>5.5</v>
      </c>
      <c r="H97" s="29">
        <f>$I$76</f>
        <v>1</v>
      </c>
      <c r="I97" s="34">
        <f t="shared" ca="1" si="20"/>
        <v>5.5</v>
      </c>
      <c r="J97" s="72" t="s">
        <v>2</v>
      </c>
    </row>
    <row r="98" spans="1:10">
      <c r="A98" s="18">
        <f>IF(LEN(B98)=0," ",COUNTA($B$30:B98))</f>
        <v>45</v>
      </c>
      <c r="B98" s="18">
        <v>15</v>
      </c>
      <c r="C98" s="4" t="s">
        <v>124</v>
      </c>
      <c r="D98" s="72" t="s">
        <v>71</v>
      </c>
      <c r="E98" s="20" t="s">
        <v>74</v>
      </c>
      <c r="F98" s="62">
        <f t="shared" si="18"/>
        <v>1</v>
      </c>
      <c r="G98" s="28">
        <f t="shared" ca="1" si="19"/>
        <v>7.4</v>
      </c>
      <c r="H98" s="29">
        <f>$I$76</f>
        <v>1</v>
      </c>
      <c r="I98" s="34">
        <f t="shared" ca="1" si="20"/>
        <v>7.4</v>
      </c>
      <c r="J98" s="72" t="s">
        <v>2</v>
      </c>
    </row>
    <row r="99" spans="1:10">
      <c r="A99" s="58" t="s">
        <v>83</v>
      </c>
      <c r="B99" s="58"/>
      <c r="C99" s="7" t="s">
        <v>326</v>
      </c>
      <c r="D99" s="88"/>
      <c r="E99" s="88"/>
      <c r="F99" s="63"/>
      <c r="G99" s="7"/>
      <c r="H99" s="17"/>
      <c r="I99" s="34">
        <v>1</v>
      </c>
      <c r="J99" s="88" t="s">
        <v>24</v>
      </c>
    </row>
    <row r="100" spans="1:10">
      <c r="A100" s="18">
        <f>IF(LEN(B100)=0," ",COUNTA($B$30:B100))</f>
        <v>46</v>
      </c>
      <c r="B100" s="18">
        <v>1</v>
      </c>
      <c r="C100" s="4" t="s">
        <v>33</v>
      </c>
      <c r="D100" s="72"/>
      <c r="E100" s="88"/>
      <c r="F100" s="62">
        <f t="shared" ref="F100:F114" si="21">VLOOKUP(J100,$R$2:$S$22,2,0)</f>
        <v>1</v>
      </c>
      <c r="G100" s="4"/>
      <c r="H100" s="29">
        <f t="shared" ref="H100:H106" si="22">$I$99</f>
        <v>1</v>
      </c>
      <c r="I100" s="34">
        <f ca="1">SUM(I101:I102)</f>
        <v>4.6127199999999986</v>
      </c>
      <c r="J100" s="72" t="s">
        <v>5</v>
      </c>
    </row>
    <row r="101" spans="1:10">
      <c r="A101" s="18"/>
      <c r="B101" s="18"/>
      <c r="C101" s="19" t="s">
        <v>342</v>
      </c>
      <c r="D101" s="72" t="s">
        <v>76</v>
      </c>
      <c r="E101" s="91" t="s">
        <v>327</v>
      </c>
      <c r="F101" s="62">
        <f t="shared" si="21"/>
        <v>1</v>
      </c>
      <c r="G101" s="23">
        <f ca="1">Eval(E101)*F101</f>
        <v>4.747469999999999</v>
      </c>
      <c r="H101" s="29">
        <f t="shared" si="22"/>
        <v>1</v>
      </c>
      <c r="I101" s="34">
        <f ca="1">G101*H101</f>
        <v>4.747469999999999</v>
      </c>
      <c r="J101" s="72" t="s">
        <v>5</v>
      </c>
    </row>
    <row r="102" spans="1:10">
      <c r="A102" s="18"/>
      <c r="B102" s="18"/>
      <c r="C102" s="19" t="s">
        <v>35</v>
      </c>
      <c r="D102" s="72" t="s">
        <v>55</v>
      </c>
      <c r="E102" s="25" t="s">
        <v>51</v>
      </c>
      <c r="F102" s="62">
        <f t="shared" si="21"/>
        <v>1</v>
      </c>
      <c r="G102" s="23">
        <f ca="1">Eval(E102)*F102</f>
        <v>-0.13474999999999998</v>
      </c>
      <c r="H102" s="29">
        <f t="shared" si="22"/>
        <v>1</v>
      </c>
      <c r="I102" s="34">
        <f ca="1">G102*H102</f>
        <v>-0.13474999999999998</v>
      </c>
      <c r="J102" s="72" t="s">
        <v>5</v>
      </c>
    </row>
    <row r="103" spans="1:10">
      <c r="A103" s="18">
        <f>IF(LEN(B103)=0," ",COUNTA($B$30:B103))</f>
        <v>47</v>
      </c>
      <c r="B103" s="18">
        <v>2</v>
      </c>
      <c r="C103" s="4" t="s">
        <v>36</v>
      </c>
      <c r="D103" s="72"/>
      <c r="E103" s="4"/>
      <c r="F103" s="62">
        <f t="shared" si="21"/>
        <v>1</v>
      </c>
      <c r="G103" s="23"/>
      <c r="H103" s="29">
        <f t="shared" si="22"/>
        <v>1</v>
      </c>
      <c r="I103" s="34">
        <f ca="1">SUM(I104:I105)</f>
        <v>22.626574999999999</v>
      </c>
      <c r="J103" s="72" t="s">
        <v>5</v>
      </c>
    </row>
    <row r="104" spans="1:10" s="5" customFormat="1">
      <c r="A104" s="18"/>
      <c r="B104" s="18"/>
      <c r="C104" s="19" t="s">
        <v>344</v>
      </c>
      <c r="D104" s="72" t="s">
        <v>54</v>
      </c>
      <c r="E104" s="24" t="s">
        <v>328</v>
      </c>
      <c r="F104" s="62">
        <f t="shared" si="21"/>
        <v>1</v>
      </c>
      <c r="G104" s="23">
        <f ca="1">Eval(E104)*F104</f>
        <v>22.693949999999997</v>
      </c>
      <c r="H104" s="29">
        <f t="shared" si="22"/>
        <v>1</v>
      </c>
      <c r="I104" s="34">
        <f t="shared" ref="I104:I114" ca="1" si="23">G104*H104</f>
        <v>22.693949999999997</v>
      </c>
      <c r="J104" s="72" t="s">
        <v>5</v>
      </c>
    </row>
    <row r="105" spans="1:10">
      <c r="A105" s="18"/>
      <c r="B105" s="18"/>
      <c r="C105" s="19" t="s">
        <v>35</v>
      </c>
      <c r="D105" s="72" t="s">
        <v>55</v>
      </c>
      <c r="E105" s="26" t="s">
        <v>52</v>
      </c>
      <c r="F105" s="62">
        <f t="shared" si="21"/>
        <v>1</v>
      </c>
      <c r="G105" s="23">
        <f ca="1">Eval(E105)*F105</f>
        <v>-6.737499999999999E-2</v>
      </c>
      <c r="H105" s="29">
        <f t="shared" si="22"/>
        <v>1</v>
      </c>
      <c r="I105" s="34">
        <f t="shared" ca="1" si="23"/>
        <v>-6.737499999999999E-2</v>
      </c>
      <c r="J105" s="72" t="s">
        <v>5</v>
      </c>
    </row>
    <row r="106" spans="1:10" s="98" customFormat="1">
      <c r="A106" s="92">
        <f>IF(LEN(B106)=0," ",COUNTA($B$30:B106))</f>
        <v>48</v>
      </c>
      <c r="B106" s="92">
        <v>3</v>
      </c>
      <c r="C106" s="74" t="s">
        <v>37</v>
      </c>
      <c r="D106" s="92" t="s">
        <v>56</v>
      </c>
      <c r="E106" s="105" t="s">
        <v>356</v>
      </c>
      <c r="F106" s="95">
        <f t="shared" si="21"/>
        <v>1</v>
      </c>
      <c r="G106" s="104">
        <f ca="1">Eval(E106)*F106</f>
        <v>11.397120000000001</v>
      </c>
      <c r="H106" s="97">
        <f t="shared" si="22"/>
        <v>1</v>
      </c>
      <c r="I106" s="94">
        <f t="shared" ca="1" si="23"/>
        <v>11.397120000000001</v>
      </c>
      <c r="J106" s="92" t="s">
        <v>5</v>
      </c>
    </row>
    <row r="107" spans="1:10">
      <c r="A107" s="18">
        <f>IF(LEN(B107)=0," ",COUNTA($B$30:B107))</f>
        <v>49</v>
      </c>
      <c r="B107" s="18">
        <v>4</v>
      </c>
      <c r="C107" s="4" t="s">
        <v>38</v>
      </c>
      <c r="D107" s="72" t="s">
        <v>57</v>
      </c>
      <c r="E107" s="21" t="s">
        <v>58</v>
      </c>
      <c r="F107" s="62">
        <f t="shared" si="21"/>
        <v>1</v>
      </c>
      <c r="G107" s="23">
        <f ca="1">Eval(E107)*F107</f>
        <v>0.38100000000000001</v>
      </c>
      <c r="H107" s="29">
        <f>$I$99*3</f>
        <v>3</v>
      </c>
      <c r="I107" s="34">
        <f t="shared" ca="1" si="23"/>
        <v>1.143</v>
      </c>
      <c r="J107" s="72" t="s">
        <v>5</v>
      </c>
    </row>
    <row r="108" spans="1:10">
      <c r="A108" s="18">
        <f>IF(LEN(B108)=0," ",COUNTA($B$30:B108))</f>
        <v>50</v>
      </c>
      <c r="B108" s="18">
        <v>5</v>
      </c>
      <c r="C108" s="4" t="s">
        <v>39</v>
      </c>
      <c r="D108" s="342" t="s">
        <v>59</v>
      </c>
      <c r="E108" s="343"/>
      <c r="F108" s="62">
        <f t="shared" si="21"/>
        <v>1E-3</v>
      </c>
      <c r="G108" s="4">
        <f>36.46*F108</f>
        <v>3.6459999999999999E-2</v>
      </c>
      <c r="H108" s="29">
        <f t="shared" ref="H108:H118" si="24">$I$99</f>
        <v>1</v>
      </c>
      <c r="I108" s="34">
        <f t="shared" si="23"/>
        <v>3.6459999999999999E-2</v>
      </c>
      <c r="J108" s="72" t="s">
        <v>10</v>
      </c>
    </row>
    <row r="109" spans="1:10">
      <c r="A109" s="18">
        <f>IF(LEN(B109)=0," ",COUNTA($B$30:B109))</f>
        <v>51</v>
      </c>
      <c r="B109" s="18">
        <v>6</v>
      </c>
      <c r="C109" s="4" t="s">
        <v>40</v>
      </c>
      <c r="D109" s="342" t="s">
        <v>59</v>
      </c>
      <c r="E109" s="343"/>
      <c r="F109" s="62">
        <f t="shared" si="21"/>
        <v>1E-3</v>
      </c>
      <c r="G109" s="4">
        <f>1384.98*F109</f>
        <v>1.3849800000000001</v>
      </c>
      <c r="H109" s="29">
        <f t="shared" si="24"/>
        <v>1</v>
      </c>
      <c r="I109" s="34">
        <f t="shared" si="23"/>
        <v>1.3849800000000001</v>
      </c>
      <c r="J109" s="72" t="s">
        <v>10</v>
      </c>
    </row>
    <row r="110" spans="1:10">
      <c r="A110" s="18">
        <f>IF(LEN(B110)=0," ",COUNTA($B$30:B110))</f>
        <v>52</v>
      </c>
      <c r="B110" s="18">
        <v>7</v>
      </c>
      <c r="C110" s="4" t="s">
        <v>41</v>
      </c>
      <c r="D110" s="342" t="s">
        <v>59</v>
      </c>
      <c r="E110" s="343"/>
      <c r="F110" s="62">
        <f t="shared" si="21"/>
        <v>1E-3</v>
      </c>
      <c r="G110" s="28">
        <f>28.17*F110</f>
        <v>2.8170000000000001E-2</v>
      </c>
      <c r="H110" s="29">
        <f t="shared" si="24"/>
        <v>1</v>
      </c>
      <c r="I110" s="34">
        <f t="shared" si="23"/>
        <v>2.8170000000000001E-2</v>
      </c>
      <c r="J110" s="72" t="s">
        <v>10</v>
      </c>
    </row>
    <row r="111" spans="1:10">
      <c r="A111" s="18">
        <f>IF(LEN(B111)=0," ",COUNTA($B$30:B111))</f>
        <v>53</v>
      </c>
      <c r="B111" s="18">
        <v>8</v>
      </c>
      <c r="C111" s="4" t="s">
        <v>42</v>
      </c>
      <c r="D111" s="342" t="s">
        <v>59</v>
      </c>
      <c r="E111" s="343"/>
      <c r="F111" s="62">
        <f t="shared" si="21"/>
        <v>1E-3</v>
      </c>
      <c r="G111" s="28">
        <f>717.67*F111</f>
        <v>0.71766999999999992</v>
      </c>
      <c r="H111" s="29">
        <f t="shared" si="24"/>
        <v>1</v>
      </c>
      <c r="I111" s="34">
        <f t="shared" si="23"/>
        <v>0.71766999999999992</v>
      </c>
      <c r="J111" s="72" t="s">
        <v>10</v>
      </c>
    </row>
    <row r="112" spans="1:10">
      <c r="A112" s="18">
        <f>IF(LEN(B112)=0," ",COUNTA($B$30:B112))</f>
        <v>54</v>
      </c>
      <c r="B112" s="18">
        <v>9</v>
      </c>
      <c r="C112" s="4" t="s">
        <v>61</v>
      </c>
      <c r="D112" s="342" t="s">
        <v>59</v>
      </c>
      <c r="E112" s="343"/>
      <c r="F112" s="62">
        <f t="shared" si="21"/>
        <v>1E-3</v>
      </c>
      <c r="G112" s="28">
        <f>150.87*F112</f>
        <v>0.15087</v>
      </c>
      <c r="H112" s="29">
        <f t="shared" si="24"/>
        <v>1</v>
      </c>
      <c r="I112" s="34">
        <f t="shared" si="23"/>
        <v>0.15087</v>
      </c>
      <c r="J112" s="72" t="s">
        <v>10</v>
      </c>
    </row>
    <row r="113" spans="1:10">
      <c r="A113" s="18">
        <f>IF(LEN(B113)=0," ",COUNTA($B$30:B113))</f>
        <v>55</v>
      </c>
      <c r="B113" s="18">
        <v>10</v>
      </c>
      <c r="C113" s="4" t="s">
        <v>43</v>
      </c>
      <c r="D113" s="72" t="s">
        <v>79</v>
      </c>
      <c r="E113" s="21" t="s">
        <v>329</v>
      </c>
      <c r="F113" s="62">
        <f t="shared" si="21"/>
        <v>0.01</v>
      </c>
      <c r="G113" s="28">
        <f ca="1">Eval(E113)*F113</f>
        <v>2.5418E-2</v>
      </c>
      <c r="H113" s="29">
        <f t="shared" si="24"/>
        <v>1</v>
      </c>
      <c r="I113" s="34">
        <f t="shared" ca="1" si="23"/>
        <v>2.5418E-2</v>
      </c>
      <c r="J113" s="72" t="s">
        <v>4</v>
      </c>
    </row>
    <row r="114" spans="1:10">
      <c r="A114" s="18">
        <f>IF(LEN(B114)=0," ",COUNTA($B$30:B114))</f>
        <v>56</v>
      </c>
      <c r="B114" s="18">
        <v>11</v>
      </c>
      <c r="C114" s="4" t="s">
        <v>44</v>
      </c>
      <c r="D114" s="72" t="s">
        <v>62</v>
      </c>
      <c r="E114" s="72" t="s">
        <v>330</v>
      </c>
      <c r="F114" s="62">
        <f t="shared" si="21"/>
        <v>0.01</v>
      </c>
      <c r="G114" s="28">
        <f ca="1">Eval(E114)*F114</f>
        <v>0.12608999999999998</v>
      </c>
      <c r="H114" s="29">
        <f t="shared" si="24"/>
        <v>1</v>
      </c>
      <c r="I114" s="34">
        <f t="shared" ca="1" si="23"/>
        <v>0.12608999999999998</v>
      </c>
      <c r="J114" s="72" t="s">
        <v>4</v>
      </c>
    </row>
    <row r="115" spans="1:10">
      <c r="A115" s="18">
        <f>IF(LEN(B115)=0," ",COUNTA($B$30:B115))</f>
        <v>57</v>
      </c>
      <c r="B115" s="18">
        <v>12</v>
      </c>
      <c r="C115" s="4" t="s">
        <v>12</v>
      </c>
      <c r="D115" s="72"/>
      <c r="E115" s="22"/>
      <c r="F115" s="62"/>
      <c r="G115" s="28"/>
      <c r="H115" s="29">
        <f t="shared" si="24"/>
        <v>1</v>
      </c>
      <c r="I115" s="34">
        <f ca="1">SUM(I116:I118)</f>
        <v>0.58207360000000008</v>
      </c>
      <c r="J115" s="72" t="s">
        <v>4</v>
      </c>
    </row>
    <row r="116" spans="1:10">
      <c r="A116" s="18"/>
      <c r="B116" s="18"/>
      <c r="C116" s="19" t="s">
        <v>45</v>
      </c>
      <c r="D116" s="72" t="s">
        <v>62</v>
      </c>
      <c r="E116" s="20" t="s">
        <v>331</v>
      </c>
      <c r="F116" s="62">
        <f t="shared" ref="F116:F121" si="25">VLOOKUP(J116,$R$2:$S$22,2,0)</f>
        <v>0.01</v>
      </c>
      <c r="G116" s="28">
        <f t="shared" ref="G116:G121" ca="1" si="26">Eval(E116)*F116</f>
        <v>0.28594560000000002</v>
      </c>
      <c r="H116" s="29">
        <f t="shared" si="24"/>
        <v>1</v>
      </c>
      <c r="I116" s="34">
        <f t="shared" ref="I116:I121" ca="1" si="27">G116*H116</f>
        <v>0.28594560000000002</v>
      </c>
      <c r="J116" s="72" t="s">
        <v>4</v>
      </c>
    </row>
    <row r="117" spans="1:10">
      <c r="A117" s="18"/>
      <c r="B117" s="18"/>
      <c r="C117" s="19" t="s">
        <v>46</v>
      </c>
      <c r="D117" s="72" t="s">
        <v>62</v>
      </c>
      <c r="E117" s="20" t="s">
        <v>332</v>
      </c>
      <c r="F117" s="62">
        <f t="shared" si="25"/>
        <v>0.01</v>
      </c>
      <c r="G117" s="28">
        <f t="shared" ca="1" si="26"/>
        <v>0.28492800000000001</v>
      </c>
      <c r="H117" s="29">
        <f t="shared" si="24"/>
        <v>1</v>
      </c>
      <c r="I117" s="34">
        <f t="shared" ca="1" si="27"/>
        <v>0.28492800000000001</v>
      </c>
      <c r="J117" s="72" t="s">
        <v>4</v>
      </c>
    </row>
    <row r="118" spans="1:10">
      <c r="A118" s="18"/>
      <c r="B118" s="18"/>
      <c r="C118" s="19" t="s">
        <v>47</v>
      </c>
      <c r="D118" s="72" t="s">
        <v>67</v>
      </c>
      <c r="E118" s="30" t="s">
        <v>317</v>
      </c>
      <c r="F118" s="62">
        <f t="shared" si="25"/>
        <v>0.01</v>
      </c>
      <c r="G118" s="28">
        <f t="shared" ca="1" si="26"/>
        <v>1.1200000000000002E-2</v>
      </c>
      <c r="H118" s="29">
        <f t="shared" si="24"/>
        <v>1</v>
      </c>
      <c r="I118" s="34">
        <f t="shared" ca="1" si="27"/>
        <v>1.1200000000000002E-2</v>
      </c>
      <c r="J118" s="72" t="s">
        <v>4</v>
      </c>
    </row>
    <row r="119" spans="1:10">
      <c r="A119" s="18">
        <f>IF(LEN(B119)=0," ",COUNTA($B$30:B119))</f>
        <v>58</v>
      </c>
      <c r="B119" s="18">
        <v>13</v>
      </c>
      <c r="C119" s="4" t="s">
        <v>48</v>
      </c>
      <c r="D119" s="72" t="s">
        <v>69</v>
      </c>
      <c r="E119" s="21" t="s">
        <v>70</v>
      </c>
      <c r="F119" s="62">
        <f t="shared" si="25"/>
        <v>0.01</v>
      </c>
      <c r="G119" s="28">
        <f t="shared" ca="1" si="26"/>
        <v>2.5400000000000002E-2</v>
      </c>
      <c r="H119" s="29">
        <f>$I$99*3</f>
        <v>3</v>
      </c>
      <c r="I119" s="34">
        <f t="shared" ca="1" si="27"/>
        <v>7.6200000000000004E-2</v>
      </c>
      <c r="J119" s="72" t="s">
        <v>4</v>
      </c>
    </row>
    <row r="120" spans="1:10">
      <c r="A120" s="18">
        <f>IF(LEN(B120)=0," ",COUNTA($B$30:B120))</f>
        <v>59</v>
      </c>
      <c r="B120" s="18">
        <v>14</v>
      </c>
      <c r="C120" s="4" t="s">
        <v>49</v>
      </c>
      <c r="D120" s="72" t="s">
        <v>72</v>
      </c>
      <c r="E120" s="72" t="s">
        <v>82</v>
      </c>
      <c r="F120" s="62">
        <f t="shared" si="25"/>
        <v>1</v>
      </c>
      <c r="G120" s="28">
        <f t="shared" ca="1" si="26"/>
        <v>5.5</v>
      </c>
      <c r="H120" s="29">
        <f>$I$99</f>
        <v>1</v>
      </c>
      <c r="I120" s="34">
        <f t="shared" ca="1" si="27"/>
        <v>5.5</v>
      </c>
      <c r="J120" s="72" t="s">
        <v>2</v>
      </c>
    </row>
    <row r="121" spans="1:10">
      <c r="A121" s="18">
        <f>IF(LEN(B121)=0," ",COUNTA($B$30:B121))</f>
        <v>60</v>
      </c>
      <c r="B121" s="18">
        <v>15</v>
      </c>
      <c r="C121" s="4" t="s">
        <v>124</v>
      </c>
      <c r="D121" s="72" t="s">
        <v>71</v>
      </c>
      <c r="E121" s="20" t="s">
        <v>74</v>
      </c>
      <c r="F121" s="62">
        <f t="shared" si="25"/>
        <v>1</v>
      </c>
      <c r="G121" s="28">
        <f t="shared" ca="1" si="26"/>
        <v>7.4</v>
      </c>
      <c r="H121" s="29">
        <f>$I$99</f>
        <v>1</v>
      </c>
      <c r="I121" s="34">
        <f t="shared" ca="1" si="27"/>
        <v>7.4</v>
      </c>
      <c r="J121" s="72" t="s">
        <v>2</v>
      </c>
    </row>
    <row r="122" spans="1:10">
      <c r="A122" s="58" t="s">
        <v>84</v>
      </c>
      <c r="B122" s="58"/>
      <c r="C122" s="7" t="s">
        <v>333</v>
      </c>
      <c r="D122" s="88"/>
      <c r="E122" s="88"/>
      <c r="F122" s="63"/>
      <c r="G122" s="7"/>
      <c r="H122" s="17"/>
      <c r="I122" s="34">
        <v>1</v>
      </c>
      <c r="J122" s="88" t="s">
        <v>24</v>
      </c>
    </row>
    <row r="123" spans="1:10">
      <c r="A123" s="18">
        <f>IF(LEN(B123)=0," ",COUNTA($B$30:B123))</f>
        <v>61</v>
      </c>
      <c r="B123" s="18">
        <v>1</v>
      </c>
      <c r="C123" s="4" t="s">
        <v>33</v>
      </c>
      <c r="D123" s="72"/>
      <c r="E123" s="88"/>
      <c r="F123" s="62">
        <f t="shared" ref="F123:F137" si="28">VLOOKUP(J123,$R$2:$S$22,2,0)</f>
        <v>1</v>
      </c>
      <c r="G123" s="4"/>
      <c r="H123" s="29">
        <f t="shared" ref="H123:H129" si="29">$I$99</f>
        <v>1</v>
      </c>
      <c r="I123" s="34">
        <f ca="1">SUM(I124:I125)</f>
        <v>5.0977499999999996</v>
      </c>
      <c r="J123" s="72" t="s">
        <v>5</v>
      </c>
    </row>
    <row r="124" spans="1:10">
      <c r="A124" s="18"/>
      <c r="B124" s="18"/>
      <c r="C124" s="19" t="s">
        <v>342</v>
      </c>
      <c r="D124" s="72" t="s">
        <v>76</v>
      </c>
      <c r="E124" s="20" t="s">
        <v>85</v>
      </c>
      <c r="F124" s="62">
        <f t="shared" si="28"/>
        <v>1</v>
      </c>
      <c r="G124" s="23">
        <f ca="1">Eval(E124)*F124</f>
        <v>5.2324999999999999</v>
      </c>
      <c r="H124" s="29">
        <f t="shared" si="29"/>
        <v>1</v>
      </c>
      <c r="I124" s="34">
        <f ca="1">G124*H124</f>
        <v>5.2324999999999999</v>
      </c>
      <c r="J124" s="72" t="s">
        <v>5</v>
      </c>
    </row>
    <row r="125" spans="1:10">
      <c r="A125" s="18"/>
      <c r="B125" s="18"/>
      <c r="C125" s="19" t="s">
        <v>35</v>
      </c>
      <c r="D125" s="72" t="s">
        <v>55</v>
      </c>
      <c r="E125" s="25" t="s">
        <v>51</v>
      </c>
      <c r="F125" s="62">
        <f t="shared" si="28"/>
        <v>1</v>
      </c>
      <c r="G125" s="23">
        <f ca="1">Eval(E125)*F125</f>
        <v>-0.13474999999999998</v>
      </c>
      <c r="H125" s="29">
        <f t="shared" si="29"/>
        <v>1</v>
      </c>
      <c r="I125" s="34">
        <f ca="1">G125*H125</f>
        <v>-0.13474999999999998</v>
      </c>
      <c r="J125" s="72" t="s">
        <v>5</v>
      </c>
    </row>
    <row r="126" spans="1:10">
      <c r="A126" s="18">
        <f>IF(LEN(B126)=0," ",COUNTA($B$30:B126))</f>
        <v>62</v>
      </c>
      <c r="B126" s="18">
        <v>2</v>
      </c>
      <c r="C126" s="4" t="s">
        <v>36</v>
      </c>
      <c r="D126" s="72"/>
      <c r="E126" s="4"/>
      <c r="F126" s="62">
        <f t="shared" si="28"/>
        <v>1</v>
      </c>
      <c r="G126" s="23"/>
      <c r="H126" s="29">
        <f t="shared" si="29"/>
        <v>1</v>
      </c>
      <c r="I126" s="34">
        <f ca="1">SUM(I127:I128)</f>
        <v>25.012550000000001</v>
      </c>
      <c r="J126" s="72" t="s">
        <v>5</v>
      </c>
    </row>
    <row r="127" spans="1:10" s="5" customFormat="1">
      <c r="A127" s="18"/>
      <c r="B127" s="18"/>
      <c r="C127" s="19" t="s">
        <v>344</v>
      </c>
      <c r="D127" s="72" t="s">
        <v>54</v>
      </c>
      <c r="E127" s="24" t="s">
        <v>334</v>
      </c>
      <c r="F127" s="62">
        <f t="shared" si="28"/>
        <v>1</v>
      </c>
      <c r="G127" s="23">
        <f ca="1">Eval(E127)*F127</f>
        <v>25.079924999999999</v>
      </c>
      <c r="H127" s="29">
        <f t="shared" si="29"/>
        <v>1</v>
      </c>
      <c r="I127" s="34">
        <f t="shared" ref="I127:I137" ca="1" si="30">G127*H127</f>
        <v>25.079924999999999</v>
      </c>
      <c r="J127" s="72" t="s">
        <v>5</v>
      </c>
    </row>
    <row r="128" spans="1:10">
      <c r="A128" s="18"/>
      <c r="B128" s="18"/>
      <c r="C128" s="19" t="s">
        <v>35</v>
      </c>
      <c r="D128" s="72" t="s">
        <v>55</v>
      </c>
      <c r="E128" s="26" t="s">
        <v>52</v>
      </c>
      <c r="F128" s="62">
        <f t="shared" si="28"/>
        <v>1</v>
      </c>
      <c r="G128" s="23">
        <f ca="1">Eval(E128)*F128</f>
        <v>-6.737499999999999E-2</v>
      </c>
      <c r="H128" s="29">
        <f t="shared" si="29"/>
        <v>1</v>
      </c>
      <c r="I128" s="34">
        <f t="shared" ca="1" si="30"/>
        <v>-6.737499999999999E-2</v>
      </c>
      <c r="J128" s="72" t="s">
        <v>5</v>
      </c>
    </row>
    <row r="129" spans="1:10">
      <c r="A129" s="18">
        <f>IF(LEN(B129)=0," ",COUNTA($B$30:B129))</f>
        <v>63</v>
      </c>
      <c r="B129" s="18">
        <v>3</v>
      </c>
      <c r="C129" s="4" t="s">
        <v>37</v>
      </c>
      <c r="D129" s="72" t="s">
        <v>56</v>
      </c>
      <c r="E129" s="75" t="s">
        <v>335</v>
      </c>
      <c r="F129" s="62">
        <f t="shared" si="28"/>
        <v>1</v>
      </c>
      <c r="G129" s="23">
        <f ca="1">Eval(E129)*F129</f>
        <v>12.634720000000002</v>
      </c>
      <c r="H129" s="29">
        <f t="shared" si="29"/>
        <v>1</v>
      </c>
      <c r="I129" s="34">
        <f t="shared" ca="1" si="30"/>
        <v>12.634720000000002</v>
      </c>
      <c r="J129" s="72" t="s">
        <v>5</v>
      </c>
    </row>
    <row r="130" spans="1:10">
      <c r="A130" s="18">
        <f>IF(LEN(B130)=0," ",COUNTA($B$30:B130))</f>
        <v>64</v>
      </c>
      <c r="B130" s="18">
        <v>4</v>
      </c>
      <c r="C130" s="4" t="s">
        <v>38</v>
      </c>
      <c r="D130" s="72" t="s">
        <v>57</v>
      </c>
      <c r="E130" s="21" t="s">
        <v>58</v>
      </c>
      <c r="F130" s="62">
        <f t="shared" si="28"/>
        <v>1</v>
      </c>
      <c r="G130" s="23">
        <f ca="1">Eval(E130)*F130</f>
        <v>0.38100000000000001</v>
      </c>
      <c r="H130" s="29">
        <f>$I$99*3</f>
        <v>3</v>
      </c>
      <c r="I130" s="34">
        <f t="shared" ca="1" si="30"/>
        <v>1.143</v>
      </c>
      <c r="J130" s="72" t="s">
        <v>5</v>
      </c>
    </row>
    <row r="131" spans="1:10">
      <c r="A131" s="18">
        <f>IF(LEN(B131)=0," ",COUNTA($B$30:B131))</f>
        <v>65</v>
      </c>
      <c r="B131" s="18">
        <v>5</v>
      </c>
      <c r="C131" s="4" t="s">
        <v>39</v>
      </c>
      <c r="D131" s="342" t="s">
        <v>59</v>
      </c>
      <c r="E131" s="343"/>
      <c r="F131" s="62">
        <f t="shared" si="28"/>
        <v>1E-3</v>
      </c>
      <c r="G131" s="4">
        <f>40.18*F131</f>
        <v>4.018E-2</v>
      </c>
      <c r="H131" s="29">
        <f t="shared" ref="H131:H141" si="31">$I$99</f>
        <v>1</v>
      </c>
      <c r="I131" s="34">
        <f t="shared" si="30"/>
        <v>4.018E-2</v>
      </c>
      <c r="J131" s="72" t="s">
        <v>10</v>
      </c>
    </row>
    <row r="132" spans="1:10">
      <c r="A132" s="18">
        <f>IF(LEN(B132)=0," ",COUNTA($B$30:B132))</f>
        <v>66</v>
      </c>
      <c r="B132" s="18">
        <v>6</v>
      </c>
      <c r="C132" s="4" t="s">
        <v>40</v>
      </c>
      <c r="D132" s="342" t="s">
        <v>59</v>
      </c>
      <c r="E132" s="343"/>
      <c r="F132" s="62">
        <f t="shared" si="28"/>
        <v>1E-3</v>
      </c>
      <c r="G132" s="4">
        <f>1345.83*F132</f>
        <v>1.3458299999999999</v>
      </c>
      <c r="H132" s="29">
        <f t="shared" si="31"/>
        <v>1</v>
      </c>
      <c r="I132" s="34">
        <f t="shared" si="30"/>
        <v>1.3458299999999999</v>
      </c>
      <c r="J132" s="72" t="s">
        <v>10</v>
      </c>
    </row>
    <row r="133" spans="1:10">
      <c r="A133" s="18">
        <f>IF(LEN(B133)=0," ",COUNTA($B$30:B133))</f>
        <v>67</v>
      </c>
      <c r="B133" s="18">
        <v>7</v>
      </c>
      <c r="C133" s="4" t="s">
        <v>41</v>
      </c>
      <c r="D133" s="342" t="s">
        <v>59</v>
      </c>
      <c r="E133" s="343"/>
      <c r="F133" s="62">
        <f t="shared" si="28"/>
        <v>1E-3</v>
      </c>
      <c r="G133" s="28">
        <f>31.69*F133</f>
        <v>3.1690000000000003E-2</v>
      </c>
      <c r="H133" s="29">
        <f t="shared" si="31"/>
        <v>1</v>
      </c>
      <c r="I133" s="34">
        <f t="shared" si="30"/>
        <v>3.1690000000000003E-2</v>
      </c>
      <c r="J133" s="72" t="s">
        <v>10</v>
      </c>
    </row>
    <row r="134" spans="1:10">
      <c r="A134" s="18">
        <f>IF(LEN(B134)=0," ",COUNTA($B$30:B134))</f>
        <v>68</v>
      </c>
      <c r="B134" s="18">
        <v>8</v>
      </c>
      <c r="C134" s="4" t="s">
        <v>42</v>
      </c>
      <c r="D134" s="342" t="s">
        <v>59</v>
      </c>
      <c r="E134" s="343"/>
      <c r="F134" s="62">
        <f t="shared" si="28"/>
        <v>1E-3</v>
      </c>
      <c r="G134" s="28">
        <f>800.19*F134</f>
        <v>0.80019000000000007</v>
      </c>
      <c r="H134" s="29">
        <f t="shared" si="31"/>
        <v>1</v>
      </c>
      <c r="I134" s="34">
        <f t="shared" si="30"/>
        <v>0.80019000000000007</v>
      </c>
      <c r="J134" s="72" t="s">
        <v>10</v>
      </c>
    </row>
    <row r="135" spans="1:10">
      <c r="A135" s="18">
        <f>IF(LEN(B135)=0," ",COUNTA($B$30:B135))</f>
        <v>69</v>
      </c>
      <c r="B135" s="18">
        <v>9</v>
      </c>
      <c r="C135" s="4" t="s">
        <v>61</v>
      </c>
      <c r="D135" s="342" t="s">
        <v>59</v>
      </c>
      <c r="E135" s="343"/>
      <c r="F135" s="62">
        <f t="shared" si="28"/>
        <v>1E-3</v>
      </c>
      <c r="G135" s="28">
        <f>150.87*F135</f>
        <v>0.15087</v>
      </c>
      <c r="H135" s="29">
        <f t="shared" si="31"/>
        <v>1</v>
      </c>
      <c r="I135" s="34">
        <f t="shared" si="30"/>
        <v>0.15087</v>
      </c>
      <c r="J135" s="72" t="s">
        <v>10</v>
      </c>
    </row>
    <row r="136" spans="1:10">
      <c r="A136" s="18">
        <f>IF(LEN(B136)=0," ",COUNTA($B$30:B136))</f>
        <v>70</v>
      </c>
      <c r="B136" s="18">
        <v>10</v>
      </c>
      <c r="C136" s="4" t="s">
        <v>43</v>
      </c>
      <c r="D136" s="72" t="s">
        <v>79</v>
      </c>
      <c r="E136" s="21" t="s">
        <v>336</v>
      </c>
      <c r="F136" s="62">
        <f t="shared" si="28"/>
        <v>0.01</v>
      </c>
      <c r="G136" s="28">
        <f ca="1">Eval(E136)*F136</f>
        <v>2.7612000000000001E-2</v>
      </c>
      <c r="H136" s="29">
        <f t="shared" si="31"/>
        <v>1</v>
      </c>
      <c r="I136" s="34">
        <f t="shared" ca="1" si="30"/>
        <v>2.7612000000000001E-2</v>
      </c>
      <c r="J136" s="72" t="s">
        <v>4</v>
      </c>
    </row>
    <row r="137" spans="1:10">
      <c r="A137" s="18">
        <f>IF(LEN(B137)=0," ",COUNTA($B$30:B137))</f>
        <v>71</v>
      </c>
      <c r="B137" s="18">
        <v>11</v>
      </c>
      <c r="C137" s="4" t="s">
        <v>44</v>
      </c>
      <c r="D137" s="72" t="s">
        <v>62</v>
      </c>
      <c r="E137" s="72" t="s">
        <v>337</v>
      </c>
      <c r="F137" s="62">
        <f t="shared" si="28"/>
        <v>0.01</v>
      </c>
      <c r="G137" s="28">
        <f ca="1">Eval(E137)*F137</f>
        <v>0.13705999999999999</v>
      </c>
      <c r="H137" s="29">
        <f t="shared" si="31"/>
        <v>1</v>
      </c>
      <c r="I137" s="34">
        <f t="shared" ca="1" si="30"/>
        <v>0.13705999999999999</v>
      </c>
      <c r="J137" s="72" t="s">
        <v>4</v>
      </c>
    </row>
    <row r="138" spans="1:10">
      <c r="A138" s="18">
        <f>IF(LEN(B138)=0," ",COUNTA($B$30:B138))</f>
        <v>72</v>
      </c>
      <c r="B138" s="18">
        <v>12</v>
      </c>
      <c r="C138" s="4" t="s">
        <v>12</v>
      </c>
      <c r="D138" s="72"/>
      <c r="E138" s="22"/>
      <c r="F138" s="62"/>
      <c r="G138" s="28"/>
      <c r="H138" s="29">
        <f t="shared" si="31"/>
        <v>1</v>
      </c>
      <c r="I138" s="34">
        <f ca="1">SUM(I139:I141)</f>
        <v>0.64434459999999993</v>
      </c>
      <c r="J138" s="72" t="s">
        <v>4</v>
      </c>
    </row>
    <row r="139" spans="1:10">
      <c r="A139" s="18"/>
      <c r="B139" s="18"/>
      <c r="C139" s="19" t="s">
        <v>45</v>
      </c>
      <c r="D139" s="72" t="s">
        <v>62</v>
      </c>
      <c r="E139" s="20" t="s">
        <v>338</v>
      </c>
      <c r="F139" s="62">
        <f t="shared" ref="F139:F144" si="32">VLOOKUP(J139,$R$2:$S$22,2,0)</f>
        <v>0.01</v>
      </c>
      <c r="G139" s="28">
        <f t="shared" ref="G139:G144" ca="1" si="33">Eval(E139)*F139</f>
        <v>0.31713659999999999</v>
      </c>
      <c r="H139" s="29">
        <f t="shared" si="31"/>
        <v>1</v>
      </c>
      <c r="I139" s="34">
        <f t="shared" ref="I139:I144" ca="1" si="34">G139*H139</f>
        <v>0.31713659999999999</v>
      </c>
      <c r="J139" s="72" t="s">
        <v>4</v>
      </c>
    </row>
    <row r="140" spans="1:10">
      <c r="A140" s="18"/>
      <c r="B140" s="18"/>
      <c r="C140" s="19" t="s">
        <v>46</v>
      </c>
      <c r="D140" s="72" t="s">
        <v>62</v>
      </c>
      <c r="E140" s="20" t="s">
        <v>339</v>
      </c>
      <c r="F140" s="62">
        <f t="shared" si="32"/>
        <v>0.01</v>
      </c>
      <c r="G140" s="28">
        <f t="shared" ca="1" si="33"/>
        <v>0.31600799999999996</v>
      </c>
      <c r="H140" s="29">
        <f t="shared" si="31"/>
        <v>1</v>
      </c>
      <c r="I140" s="34">
        <f t="shared" ca="1" si="34"/>
        <v>0.31600799999999996</v>
      </c>
      <c r="J140" s="72" t="s">
        <v>4</v>
      </c>
    </row>
    <row r="141" spans="1:10">
      <c r="A141" s="18"/>
      <c r="B141" s="18"/>
      <c r="C141" s="19" t="s">
        <v>47</v>
      </c>
      <c r="D141" s="72" t="s">
        <v>67</v>
      </c>
      <c r="E141" s="30" t="s">
        <v>317</v>
      </c>
      <c r="F141" s="62">
        <f t="shared" si="32"/>
        <v>0.01</v>
      </c>
      <c r="G141" s="28">
        <f t="shared" ca="1" si="33"/>
        <v>1.1200000000000002E-2</v>
      </c>
      <c r="H141" s="29">
        <f t="shared" si="31"/>
        <v>1</v>
      </c>
      <c r="I141" s="34">
        <f t="shared" ca="1" si="34"/>
        <v>1.1200000000000002E-2</v>
      </c>
      <c r="J141" s="72" t="s">
        <v>4</v>
      </c>
    </row>
    <row r="142" spans="1:10">
      <c r="A142" s="18">
        <f>IF(LEN(B142)=0," ",COUNTA($B$30:B142))</f>
        <v>73</v>
      </c>
      <c r="B142" s="18">
        <v>13</v>
      </c>
      <c r="C142" s="4" t="s">
        <v>48</v>
      </c>
      <c r="D142" s="72" t="s">
        <v>69</v>
      </c>
      <c r="E142" s="21" t="s">
        <v>70</v>
      </c>
      <c r="F142" s="62">
        <f t="shared" si="32"/>
        <v>0.01</v>
      </c>
      <c r="G142" s="28">
        <f t="shared" ca="1" si="33"/>
        <v>2.5400000000000002E-2</v>
      </c>
      <c r="H142" s="29">
        <f>$I$99*3</f>
        <v>3</v>
      </c>
      <c r="I142" s="34">
        <f t="shared" ca="1" si="34"/>
        <v>7.6200000000000004E-2</v>
      </c>
      <c r="J142" s="72" t="s">
        <v>4</v>
      </c>
    </row>
    <row r="143" spans="1:10">
      <c r="A143" s="18">
        <f>IF(LEN(B143)=0," ",COUNTA($B$30:B143))</f>
        <v>74</v>
      </c>
      <c r="B143" s="18">
        <v>14</v>
      </c>
      <c r="C143" s="4" t="s">
        <v>49</v>
      </c>
      <c r="D143" s="72" t="s">
        <v>72</v>
      </c>
      <c r="E143" s="72" t="s">
        <v>73</v>
      </c>
      <c r="F143" s="62">
        <f t="shared" si="32"/>
        <v>1</v>
      </c>
      <c r="G143" s="28">
        <f t="shared" ca="1" si="33"/>
        <v>6</v>
      </c>
      <c r="H143" s="29">
        <f>$I$99</f>
        <v>1</v>
      </c>
      <c r="I143" s="34">
        <f t="shared" ca="1" si="34"/>
        <v>6</v>
      </c>
      <c r="J143" s="72" t="s">
        <v>2</v>
      </c>
    </row>
    <row r="144" spans="1:10">
      <c r="A144" s="18">
        <f>IF(LEN(B144)=0," ",COUNTA($B$30:B144))</f>
        <v>75</v>
      </c>
      <c r="B144" s="18">
        <v>15</v>
      </c>
      <c r="C144" s="4" t="s">
        <v>124</v>
      </c>
      <c r="D144" s="72" t="s">
        <v>71</v>
      </c>
      <c r="E144" s="20" t="s">
        <v>74</v>
      </c>
      <c r="F144" s="62">
        <f t="shared" si="32"/>
        <v>1</v>
      </c>
      <c r="G144" s="28">
        <f t="shared" ca="1" si="33"/>
        <v>7.4</v>
      </c>
      <c r="H144" s="29">
        <f>$I$99</f>
        <v>1</v>
      </c>
      <c r="I144" s="34">
        <f t="shared" ca="1" si="34"/>
        <v>7.4</v>
      </c>
      <c r="J144" s="72" t="s">
        <v>2</v>
      </c>
    </row>
    <row r="145" spans="1:10">
      <c r="A145" s="58" t="s">
        <v>86</v>
      </c>
      <c r="B145" s="58"/>
      <c r="C145" s="7" t="s">
        <v>87</v>
      </c>
      <c r="D145" s="58"/>
      <c r="E145" s="58"/>
      <c r="F145" s="63"/>
      <c r="G145" s="7"/>
      <c r="H145" s="17"/>
      <c r="I145" s="34">
        <v>1</v>
      </c>
      <c r="J145" s="58" t="s">
        <v>24</v>
      </c>
    </row>
    <row r="146" spans="1:10">
      <c r="A146" s="18">
        <f>IF(LEN(B146)=0," ",COUNTA($B$30:B146))</f>
        <v>76</v>
      </c>
      <c r="B146" s="18">
        <v>1</v>
      </c>
      <c r="C146" s="4" t="s">
        <v>33</v>
      </c>
      <c r="D146" s="18"/>
      <c r="E146" s="58"/>
      <c r="F146" s="62">
        <f t="shared" ref="F146:F160" si="35">VLOOKUP(J146,$R$2:$S$22,2,0)</f>
        <v>1</v>
      </c>
      <c r="G146" s="4"/>
      <c r="H146" s="29">
        <f t="shared" ref="H146:H152" si="36">$I$145</f>
        <v>1</v>
      </c>
      <c r="I146" s="34">
        <f ca="1">SUM(I147:I148)</f>
        <v>5.1841999999999997</v>
      </c>
      <c r="J146" s="18" t="s">
        <v>5</v>
      </c>
    </row>
    <row r="147" spans="1:10">
      <c r="A147" s="18"/>
      <c r="B147" s="18"/>
      <c r="C147" s="19" t="s">
        <v>342</v>
      </c>
      <c r="D147" s="18" t="s">
        <v>76</v>
      </c>
      <c r="E147" s="20" t="s">
        <v>88</v>
      </c>
      <c r="F147" s="62">
        <f t="shared" si="35"/>
        <v>1</v>
      </c>
      <c r="G147" s="23">
        <f ca="1">Eval(E147)*F147</f>
        <v>5.3189500000000001</v>
      </c>
      <c r="H147" s="29">
        <f t="shared" si="36"/>
        <v>1</v>
      </c>
      <c r="I147" s="34">
        <f ca="1">G147*H147</f>
        <v>5.3189500000000001</v>
      </c>
      <c r="J147" s="18" t="s">
        <v>5</v>
      </c>
    </row>
    <row r="148" spans="1:10">
      <c r="A148" s="18"/>
      <c r="B148" s="18"/>
      <c r="C148" s="19" t="s">
        <v>35</v>
      </c>
      <c r="D148" s="18" t="s">
        <v>55</v>
      </c>
      <c r="E148" s="25" t="s">
        <v>51</v>
      </c>
      <c r="F148" s="62">
        <f t="shared" si="35"/>
        <v>1</v>
      </c>
      <c r="G148" s="23">
        <f ca="1">Eval(E148)*F148</f>
        <v>-0.13474999999999998</v>
      </c>
      <c r="H148" s="29">
        <f t="shared" si="36"/>
        <v>1</v>
      </c>
      <c r="I148" s="34">
        <f ca="1">G148*H148</f>
        <v>-0.13474999999999998</v>
      </c>
      <c r="J148" s="18" t="s">
        <v>5</v>
      </c>
    </row>
    <row r="149" spans="1:10">
      <c r="A149" s="18">
        <f>IF(LEN(B149)=0," ",COUNTA($B$30:B149))</f>
        <v>77</v>
      </c>
      <c r="B149" s="18">
        <v>2</v>
      </c>
      <c r="C149" s="4" t="s">
        <v>36</v>
      </c>
      <c r="D149" s="18"/>
      <c r="E149" s="4"/>
      <c r="F149" s="62">
        <f t="shared" si="35"/>
        <v>1</v>
      </c>
      <c r="G149" s="23"/>
      <c r="H149" s="29">
        <f t="shared" si="36"/>
        <v>1</v>
      </c>
      <c r="I149" s="34">
        <f ca="1">SUM(I150:I151)</f>
        <v>25.358374999999999</v>
      </c>
      <c r="J149" s="18" t="s">
        <v>5</v>
      </c>
    </row>
    <row r="150" spans="1:10" s="5" customFormat="1">
      <c r="A150" s="18"/>
      <c r="B150" s="18"/>
      <c r="C150" s="19" t="s">
        <v>344</v>
      </c>
      <c r="D150" s="18" t="s">
        <v>54</v>
      </c>
      <c r="E150" s="24" t="s">
        <v>89</v>
      </c>
      <c r="F150" s="62">
        <f t="shared" si="35"/>
        <v>1</v>
      </c>
      <c r="G150" s="23">
        <f ca="1">Eval(E150)*F150</f>
        <v>25.425749999999997</v>
      </c>
      <c r="H150" s="29">
        <f t="shared" si="36"/>
        <v>1</v>
      </c>
      <c r="I150" s="34">
        <f t="shared" ref="I150:I160" ca="1" si="37">G150*H150</f>
        <v>25.425749999999997</v>
      </c>
      <c r="J150" s="18" t="s">
        <v>5</v>
      </c>
    </row>
    <row r="151" spans="1:10">
      <c r="A151" s="18"/>
      <c r="B151" s="18"/>
      <c r="C151" s="19" t="s">
        <v>35</v>
      </c>
      <c r="D151" s="18" t="s">
        <v>55</v>
      </c>
      <c r="E151" s="26" t="s">
        <v>52</v>
      </c>
      <c r="F151" s="62">
        <f t="shared" si="35"/>
        <v>1</v>
      </c>
      <c r="G151" s="23">
        <f ca="1">Eval(E151)*F151</f>
        <v>-6.737499999999999E-2</v>
      </c>
      <c r="H151" s="29">
        <f t="shared" si="36"/>
        <v>1</v>
      </c>
      <c r="I151" s="34">
        <f t="shared" ca="1" si="37"/>
        <v>-6.737499999999999E-2</v>
      </c>
      <c r="J151" s="18" t="s">
        <v>5</v>
      </c>
    </row>
    <row r="152" spans="1:10">
      <c r="A152" s="18">
        <f>IF(LEN(B152)=0," ",COUNTA($B$30:B152))</f>
        <v>78</v>
      </c>
      <c r="B152" s="18">
        <v>3</v>
      </c>
      <c r="C152" s="4" t="s">
        <v>37</v>
      </c>
      <c r="D152" s="18" t="s">
        <v>56</v>
      </c>
      <c r="E152" s="27" t="s">
        <v>90</v>
      </c>
      <c r="F152" s="62">
        <f t="shared" si="35"/>
        <v>1</v>
      </c>
      <c r="G152" s="23">
        <f ca="1">Eval(E152)*F152</f>
        <v>13.245659999999999</v>
      </c>
      <c r="H152" s="29">
        <f t="shared" si="36"/>
        <v>1</v>
      </c>
      <c r="I152" s="34">
        <f t="shared" ca="1" si="37"/>
        <v>13.245659999999999</v>
      </c>
      <c r="J152" s="18" t="s">
        <v>5</v>
      </c>
    </row>
    <row r="153" spans="1:10">
      <c r="A153" s="18">
        <f>IF(LEN(B153)=0," ",COUNTA($B$30:B153))</f>
        <v>79</v>
      </c>
      <c r="B153" s="18">
        <v>4</v>
      </c>
      <c r="C153" s="4" t="s">
        <v>38</v>
      </c>
      <c r="D153" s="18" t="s">
        <v>57</v>
      </c>
      <c r="E153" s="21" t="s">
        <v>58</v>
      </c>
      <c r="F153" s="62">
        <f t="shared" si="35"/>
        <v>1</v>
      </c>
      <c r="G153" s="23">
        <f ca="1">Eval(E153)*F153</f>
        <v>0.38100000000000001</v>
      </c>
      <c r="H153" s="29">
        <f>$I$145*3</f>
        <v>3</v>
      </c>
      <c r="I153" s="34">
        <f t="shared" ca="1" si="37"/>
        <v>1.143</v>
      </c>
      <c r="J153" s="18" t="s">
        <v>5</v>
      </c>
    </row>
    <row r="154" spans="1:10">
      <c r="A154" s="18">
        <f>IF(LEN(B154)=0," ",COUNTA($B$30:B154))</f>
        <v>80</v>
      </c>
      <c r="B154" s="18">
        <v>5</v>
      </c>
      <c r="C154" s="4" t="s">
        <v>39</v>
      </c>
      <c r="D154" s="342" t="s">
        <v>59</v>
      </c>
      <c r="E154" s="343"/>
      <c r="F154" s="62">
        <f t="shared" si="35"/>
        <v>1E-3</v>
      </c>
      <c r="G154" s="4">
        <f>40.18*F154</f>
        <v>4.018E-2</v>
      </c>
      <c r="H154" s="29">
        <f t="shared" ref="H154:H164" si="38">$I$145</f>
        <v>1</v>
      </c>
      <c r="I154" s="34">
        <f t="shared" si="37"/>
        <v>4.018E-2</v>
      </c>
      <c r="J154" s="18" t="s">
        <v>10</v>
      </c>
    </row>
    <row r="155" spans="1:10">
      <c r="A155" s="18">
        <f>IF(LEN(B155)=0," ",COUNTA($B$30:B155))</f>
        <v>81</v>
      </c>
      <c r="B155" s="18">
        <v>6</v>
      </c>
      <c r="C155" s="4" t="s">
        <v>40</v>
      </c>
      <c r="D155" s="342" t="s">
        <v>59</v>
      </c>
      <c r="E155" s="343"/>
      <c r="F155" s="62">
        <f t="shared" si="35"/>
        <v>1E-3</v>
      </c>
      <c r="G155" s="4">
        <f>1360.1*F155</f>
        <v>1.3600999999999999</v>
      </c>
      <c r="H155" s="29">
        <f t="shared" si="38"/>
        <v>1</v>
      </c>
      <c r="I155" s="34">
        <f t="shared" si="37"/>
        <v>1.3600999999999999</v>
      </c>
      <c r="J155" s="18" t="s">
        <v>10</v>
      </c>
    </row>
    <row r="156" spans="1:10">
      <c r="A156" s="18">
        <f>IF(LEN(B156)=0," ",COUNTA($B$30:B156))</f>
        <v>82</v>
      </c>
      <c r="B156" s="18">
        <v>7</v>
      </c>
      <c r="C156" s="4" t="s">
        <v>41</v>
      </c>
      <c r="D156" s="342" t="s">
        <v>59</v>
      </c>
      <c r="E156" s="343"/>
      <c r="F156" s="62">
        <f t="shared" si="35"/>
        <v>1E-3</v>
      </c>
      <c r="G156" s="28">
        <f>31.69*F156</f>
        <v>3.1690000000000003E-2</v>
      </c>
      <c r="H156" s="29">
        <f t="shared" si="38"/>
        <v>1</v>
      </c>
      <c r="I156" s="34">
        <f t="shared" si="37"/>
        <v>3.1690000000000003E-2</v>
      </c>
      <c r="J156" s="18" t="s">
        <v>10</v>
      </c>
    </row>
    <row r="157" spans="1:10">
      <c r="A157" s="18">
        <f>IF(LEN(B157)=0," ",COUNTA($B$30:B157))</f>
        <v>83</v>
      </c>
      <c r="B157" s="18">
        <v>8</v>
      </c>
      <c r="C157" s="4" t="s">
        <v>42</v>
      </c>
      <c r="D157" s="342" t="s">
        <v>59</v>
      </c>
      <c r="E157" s="343"/>
      <c r="F157" s="62">
        <f t="shared" si="35"/>
        <v>1E-3</v>
      </c>
      <c r="G157" s="28">
        <f>826.85*F157</f>
        <v>0.82685000000000008</v>
      </c>
      <c r="H157" s="29">
        <f t="shared" si="38"/>
        <v>1</v>
      </c>
      <c r="I157" s="34">
        <f t="shared" si="37"/>
        <v>0.82685000000000008</v>
      </c>
      <c r="J157" s="18" t="s">
        <v>10</v>
      </c>
    </row>
    <row r="158" spans="1:10">
      <c r="A158" s="18">
        <f>IF(LEN(B158)=0," ",COUNTA($B$30:B158))</f>
        <v>84</v>
      </c>
      <c r="B158" s="18">
        <v>9</v>
      </c>
      <c r="C158" s="4" t="s">
        <v>61</v>
      </c>
      <c r="D158" s="342" t="s">
        <v>59</v>
      </c>
      <c r="E158" s="343"/>
      <c r="F158" s="62">
        <f t="shared" si="35"/>
        <v>1E-3</v>
      </c>
      <c r="G158" s="28">
        <f>150.87*F158</f>
        <v>0.15087</v>
      </c>
      <c r="H158" s="29">
        <f t="shared" si="38"/>
        <v>1</v>
      </c>
      <c r="I158" s="34">
        <f t="shared" si="37"/>
        <v>0.15087</v>
      </c>
      <c r="J158" s="18" t="s">
        <v>10</v>
      </c>
    </row>
    <row r="159" spans="1:10">
      <c r="A159" s="18">
        <f>IF(LEN(B159)=0," ",COUNTA($B$30:B159))</f>
        <v>85</v>
      </c>
      <c r="B159" s="18">
        <v>10</v>
      </c>
      <c r="C159" s="4" t="s">
        <v>43</v>
      </c>
      <c r="D159" s="18" t="s">
        <v>79</v>
      </c>
      <c r="E159" s="21" t="s">
        <v>91</v>
      </c>
      <c r="F159" s="62">
        <f t="shared" si="35"/>
        <v>0.01</v>
      </c>
      <c r="G159" s="28">
        <f ca="1">Eval(E159)*F159</f>
        <v>2.7930000000000003E-2</v>
      </c>
      <c r="H159" s="29">
        <f t="shared" si="38"/>
        <v>1</v>
      </c>
      <c r="I159" s="34">
        <f t="shared" ca="1" si="37"/>
        <v>2.7930000000000003E-2</v>
      </c>
      <c r="J159" s="18" t="s">
        <v>4</v>
      </c>
    </row>
    <row r="160" spans="1:10">
      <c r="A160" s="18">
        <f>IF(LEN(B160)=0," ",COUNTA($B$30:B160))</f>
        <v>86</v>
      </c>
      <c r="B160" s="18">
        <v>11</v>
      </c>
      <c r="C160" s="4" t="s">
        <v>44</v>
      </c>
      <c r="D160" s="18" t="s">
        <v>62</v>
      </c>
      <c r="E160" s="18" t="s">
        <v>92</v>
      </c>
      <c r="F160" s="62">
        <f t="shared" si="35"/>
        <v>0.01</v>
      </c>
      <c r="G160" s="28">
        <f ca="1">Eval(E160)*F160</f>
        <v>0.13865</v>
      </c>
      <c r="H160" s="29">
        <f t="shared" si="38"/>
        <v>1</v>
      </c>
      <c r="I160" s="34">
        <f t="shared" ca="1" si="37"/>
        <v>0.13865</v>
      </c>
      <c r="J160" s="18" t="s">
        <v>4</v>
      </c>
    </row>
    <row r="161" spans="1:10">
      <c r="A161" s="18">
        <f>IF(LEN(B161)=0," ",COUNTA($B$30:B161))</f>
        <v>87</v>
      </c>
      <c r="B161" s="18">
        <v>12</v>
      </c>
      <c r="C161" s="4" t="s">
        <v>12</v>
      </c>
      <c r="D161" s="18"/>
      <c r="E161" s="22"/>
      <c r="F161" s="62"/>
      <c r="G161" s="28"/>
      <c r="H161" s="29">
        <f t="shared" si="38"/>
        <v>1</v>
      </c>
      <c r="I161" s="34">
        <f ca="1">SUM(I162:I164)</f>
        <v>0.66322589999999992</v>
      </c>
      <c r="J161" s="18" t="s">
        <v>4</v>
      </c>
    </row>
    <row r="162" spans="1:10">
      <c r="A162" s="18"/>
      <c r="B162" s="18"/>
      <c r="C162" s="19" t="s">
        <v>45</v>
      </c>
      <c r="D162" s="18" t="s">
        <v>62</v>
      </c>
      <c r="E162" s="20" t="s">
        <v>93</v>
      </c>
      <c r="F162" s="62">
        <f t="shared" ref="F162:F167" si="39">VLOOKUP(J162,$R$2:$S$22,2,0)</f>
        <v>0.01</v>
      </c>
      <c r="G162" s="28">
        <f t="shared" ref="G162:G167" ca="1" si="40">Eval(E162)*F162</f>
        <v>0.32649389999999995</v>
      </c>
      <c r="H162" s="29">
        <f t="shared" si="38"/>
        <v>1</v>
      </c>
      <c r="I162" s="34">
        <f t="shared" ref="I162:I167" ca="1" si="41">G162*H162</f>
        <v>0.32649389999999995</v>
      </c>
      <c r="J162" s="18" t="s">
        <v>4</v>
      </c>
    </row>
    <row r="163" spans="1:10">
      <c r="A163" s="18"/>
      <c r="B163" s="18"/>
      <c r="C163" s="19" t="s">
        <v>46</v>
      </c>
      <c r="D163" s="18" t="s">
        <v>62</v>
      </c>
      <c r="E163" s="20" t="s">
        <v>94</v>
      </c>
      <c r="F163" s="62">
        <f t="shared" si="39"/>
        <v>0.01</v>
      </c>
      <c r="G163" s="28">
        <f t="shared" ca="1" si="40"/>
        <v>0.32533200000000001</v>
      </c>
      <c r="H163" s="29">
        <f t="shared" si="38"/>
        <v>1</v>
      </c>
      <c r="I163" s="34">
        <f t="shared" ca="1" si="41"/>
        <v>0.32533200000000001</v>
      </c>
      <c r="J163" s="18" t="s">
        <v>4</v>
      </c>
    </row>
    <row r="164" spans="1:10">
      <c r="A164" s="18"/>
      <c r="B164" s="18"/>
      <c r="C164" s="19" t="s">
        <v>47</v>
      </c>
      <c r="D164" s="18" t="s">
        <v>67</v>
      </c>
      <c r="E164" s="20" t="s">
        <v>68</v>
      </c>
      <c r="F164" s="62">
        <f t="shared" si="39"/>
        <v>0.01</v>
      </c>
      <c r="G164" s="28">
        <f t="shared" ca="1" si="40"/>
        <v>1.1399999999999999E-2</v>
      </c>
      <c r="H164" s="29">
        <f t="shared" si="38"/>
        <v>1</v>
      </c>
      <c r="I164" s="34">
        <f t="shared" ca="1" si="41"/>
        <v>1.1399999999999999E-2</v>
      </c>
      <c r="J164" s="18" t="s">
        <v>4</v>
      </c>
    </row>
    <row r="165" spans="1:10">
      <c r="A165" s="18">
        <f>IF(LEN(B165)=0," ",COUNTA($B$30:B165))</f>
        <v>88</v>
      </c>
      <c r="B165" s="18">
        <v>13</v>
      </c>
      <c r="C165" s="4" t="s">
        <v>48</v>
      </c>
      <c r="D165" s="18" t="s">
        <v>69</v>
      </c>
      <c r="E165" s="21" t="s">
        <v>70</v>
      </c>
      <c r="F165" s="62">
        <f t="shared" si="39"/>
        <v>0.01</v>
      </c>
      <c r="G165" s="28">
        <f t="shared" ca="1" si="40"/>
        <v>2.5400000000000002E-2</v>
      </c>
      <c r="H165" s="29">
        <f>$I$145*3</f>
        <v>3</v>
      </c>
      <c r="I165" s="34">
        <f t="shared" ca="1" si="41"/>
        <v>7.6200000000000004E-2</v>
      </c>
      <c r="J165" s="18" t="s">
        <v>4</v>
      </c>
    </row>
    <row r="166" spans="1:10">
      <c r="A166" s="18">
        <f>IF(LEN(B166)=0," ",COUNTA($B$30:B166))</f>
        <v>89</v>
      </c>
      <c r="B166" s="18">
        <v>14</v>
      </c>
      <c r="C166" s="4" t="s">
        <v>49</v>
      </c>
      <c r="D166" s="18" t="s">
        <v>72</v>
      </c>
      <c r="E166" s="18" t="s">
        <v>73</v>
      </c>
      <c r="F166" s="62">
        <f t="shared" si="39"/>
        <v>1</v>
      </c>
      <c r="G166" s="28">
        <f t="shared" ca="1" si="40"/>
        <v>6</v>
      </c>
      <c r="H166" s="29">
        <f>$I$145</f>
        <v>1</v>
      </c>
      <c r="I166" s="34">
        <f t="shared" ca="1" si="41"/>
        <v>6</v>
      </c>
      <c r="J166" s="18" t="s">
        <v>2</v>
      </c>
    </row>
    <row r="167" spans="1:10">
      <c r="A167" s="18">
        <f>IF(LEN(B167)=0," ",COUNTA($B$30:B167))</f>
        <v>90</v>
      </c>
      <c r="B167" s="18">
        <v>15</v>
      </c>
      <c r="C167" s="4" t="s">
        <v>124</v>
      </c>
      <c r="D167" s="18" t="s">
        <v>71</v>
      </c>
      <c r="E167" s="20" t="s">
        <v>74</v>
      </c>
      <c r="F167" s="62">
        <f t="shared" si="39"/>
        <v>1</v>
      </c>
      <c r="G167" s="28">
        <f t="shared" ca="1" si="40"/>
        <v>7.4</v>
      </c>
      <c r="H167" s="29">
        <f>$I$145</f>
        <v>1</v>
      </c>
      <c r="I167" s="34">
        <f t="shared" ca="1" si="41"/>
        <v>7.4</v>
      </c>
      <c r="J167" s="18" t="s">
        <v>2</v>
      </c>
    </row>
    <row r="168" spans="1:10">
      <c r="A168" s="58" t="s">
        <v>95</v>
      </c>
      <c r="B168" s="58"/>
      <c r="C168" s="7" t="s">
        <v>96</v>
      </c>
      <c r="D168" s="58"/>
      <c r="E168" s="58"/>
      <c r="F168" s="63"/>
      <c r="G168" s="7"/>
      <c r="H168" s="17"/>
      <c r="I168" s="34">
        <v>1</v>
      </c>
      <c r="J168" s="58" t="s">
        <v>24</v>
      </c>
    </row>
    <row r="169" spans="1:10">
      <c r="A169" s="18">
        <f>IF(LEN(B169)=0," ",COUNTA($B$30:B169))</f>
        <v>91</v>
      </c>
      <c r="B169" s="18">
        <v>1</v>
      </c>
      <c r="C169" s="4" t="s">
        <v>33</v>
      </c>
      <c r="D169" s="18"/>
      <c r="E169" s="58"/>
      <c r="F169" s="62">
        <f t="shared" ref="F169:F183" si="42">VLOOKUP(J169,$R$2:$S$22,2,0)</f>
        <v>1</v>
      </c>
      <c r="G169" s="4"/>
      <c r="H169" s="29">
        <f t="shared" ref="H169:H175" si="43">$I$168</f>
        <v>1</v>
      </c>
      <c r="I169" s="34">
        <f ca="1">SUM(I170:I171)</f>
        <v>5.0931999999999995</v>
      </c>
      <c r="J169" s="18" t="s">
        <v>5</v>
      </c>
    </row>
    <row r="170" spans="1:10">
      <c r="A170" s="18"/>
      <c r="B170" s="18"/>
      <c r="C170" s="19" t="s">
        <v>342</v>
      </c>
      <c r="D170" s="18" t="s">
        <v>76</v>
      </c>
      <c r="E170" s="20" t="s">
        <v>97</v>
      </c>
      <c r="F170" s="62">
        <f t="shared" si="42"/>
        <v>1</v>
      </c>
      <c r="G170" s="23">
        <f ca="1">Eval(E170)*F170</f>
        <v>5.2279499999999999</v>
      </c>
      <c r="H170" s="29">
        <f t="shared" si="43"/>
        <v>1</v>
      </c>
      <c r="I170" s="34">
        <f ca="1">G170*H170</f>
        <v>5.2279499999999999</v>
      </c>
      <c r="J170" s="18" t="s">
        <v>5</v>
      </c>
    </row>
    <row r="171" spans="1:10">
      <c r="A171" s="18"/>
      <c r="B171" s="18"/>
      <c r="C171" s="19" t="s">
        <v>35</v>
      </c>
      <c r="D171" s="18" t="s">
        <v>55</v>
      </c>
      <c r="E171" s="25" t="s">
        <v>51</v>
      </c>
      <c r="F171" s="62">
        <f t="shared" si="42"/>
        <v>1</v>
      </c>
      <c r="G171" s="23">
        <f ca="1">Eval(E171)*F171</f>
        <v>-0.13474999999999998</v>
      </c>
      <c r="H171" s="29">
        <f t="shared" si="43"/>
        <v>1</v>
      </c>
      <c r="I171" s="34">
        <f ca="1">G171*H171</f>
        <v>-0.13474999999999998</v>
      </c>
      <c r="J171" s="18" t="s">
        <v>5</v>
      </c>
    </row>
    <row r="172" spans="1:10">
      <c r="A172" s="18">
        <f>IF(LEN(B172)=0," ",COUNTA($B$30:B172))</f>
        <v>92</v>
      </c>
      <c r="B172" s="18">
        <v>2</v>
      </c>
      <c r="C172" s="4" t="s">
        <v>36</v>
      </c>
      <c r="D172" s="18"/>
      <c r="E172" s="4"/>
      <c r="F172" s="62">
        <f t="shared" si="42"/>
        <v>1</v>
      </c>
      <c r="G172" s="23"/>
      <c r="H172" s="29">
        <f t="shared" si="43"/>
        <v>1</v>
      </c>
      <c r="I172" s="34">
        <f ca="1">SUM(I173:I174)</f>
        <v>24.923375</v>
      </c>
      <c r="J172" s="18" t="s">
        <v>5</v>
      </c>
    </row>
    <row r="173" spans="1:10" s="5" customFormat="1">
      <c r="A173" s="18"/>
      <c r="B173" s="18"/>
      <c r="C173" s="19" t="s">
        <v>344</v>
      </c>
      <c r="D173" s="18" t="s">
        <v>54</v>
      </c>
      <c r="E173" s="24" t="s">
        <v>98</v>
      </c>
      <c r="F173" s="62">
        <f t="shared" si="42"/>
        <v>1</v>
      </c>
      <c r="G173" s="23">
        <f ca="1">Eval(E173)*F173</f>
        <v>24.990749999999998</v>
      </c>
      <c r="H173" s="29">
        <f t="shared" si="43"/>
        <v>1</v>
      </c>
      <c r="I173" s="34">
        <f t="shared" ref="I173:I183" ca="1" si="44">G173*H173</f>
        <v>24.990749999999998</v>
      </c>
      <c r="J173" s="18" t="s">
        <v>5</v>
      </c>
    </row>
    <row r="174" spans="1:10">
      <c r="A174" s="18"/>
      <c r="B174" s="18"/>
      <c r="C174" s="19" t="s">
        <v>35</v>
      </c>
      <c r="D174" s="18" t="s">
        <v>55</v>
      </c>
      <c r="E174" s="26" t="s">
        <v>52</v>
      </c>
      <c r="F174" s="62">
        <f t="shared" si="42"/>
        <v>1</v>
      </c>
      <c r="G174" s="23">
        <f ca="1">Eval(E174)*F174</f>
        <v>-6.737499999999999E-2</v>
      </c>
      <c r="H174" s="29">
        <f t="shared" si="43"/>
        <v>1</v>
      </c>
      <c r="I174" s="34">
        <f t="shared" ca="1" si="44"/>
        <v>-6.737499999999999E-2</v>
      </c>
      <c r="J174" s="18" t="s">
        <v>5</v>
      </c>
    </row>
    <row r="175" spans="1:10">
      <c r="A175" s="18">
        <f>IF(LEN(B175)=0," ",COUNTA($B$30:B175))</f>
        <v>93</v>
      </c>
      <c r="B175" s="18">
        <v>3</v>
      </c>
      <c r="C175" s="4" t="s">
        <v>37</v>
      </c>
      <c r="D175" s="18" t="s">
        <v>56</v>
      </c>
      <c r="E175" s="27" t="s">
        <v>90</v>
      </c>
      <c r="F175" s="62">
        <f t="shared" si="42"/>
        <v>1</v>
      </c>
      <c r="G175" s="23">
        <f ca="1">Eval(E175)*F175</f>
        <v>13.245659999999999</v>
      </c>
      <c r="H175" s="29">
        <f t="shared" si="43"/>
        <v>1</v>
      </c>
      <c r="I175" s="34">
        <f t="shared" ca="1" si="44"/>
        <v>13.245659999999999</v>
      </c>
      <c r="J175" s="18" t="s">
        <v>5</v>
      </c>
    </row>
    <row r="176" spans="1:10">
      <c r="A176" s="18">
        <f>IF(LEN(B176)=0," ",COUNTA($B$30:B176))</f>
        <v>94</v>
      </c>
      <c r="B176" s="18">
        <v>4</v>
      </c>
      <c r="C176" s="4" t="s">
        <v>38</v>
      </c>
      <c r="D176" s="18" t="s">
        <v>57</v>
      </c>
      <c r="E176" s="21" t="s">
        <v>58</v>
      </c>
      <c r="F176" s="62">
        <f t="shared" si="42"/>
        <v>1</v>
      </c>
      <c r="G176" s="23">
        <f ca="1">Eval(E176)*F176</f>
        <v>0.38100000000000001</v>
      </c>
      <c r="H176" s="29">
        <f>$I$168*3</f>
        <v>3</v>
      </c>
      <c r="I176" s="34">
        <f t="shared" ca="1" si="44"/>
        <v>1.143</v>
      </c>
      <c r="J176" s="18" t="s">
        <v>5</v>
      </c>
    </row>
    <row r="177" spans="1:10">
      <c r="A177" s="18">
        <f>IF(LEN(B177)=0," ",COUNTA($B$30:B177))</f>
        <v>95</v>
      </c>
      <c r="B177" s="18">
        <v>5</v>
      </c>
      <c r="C177" s="4" t="s">
        <v>39</v>
      </c>
      <c r="D177" s="342" t="s">
        <v>59</v>
      </c>
      <c r="E177" s="343"/>
      <c r="F177" s="62">
        <f t="shared" si="42"/>
        <v>1E-3</v>
      </c>
      <c r="G177" s="4">
        <f>40.18*F177</f>
        <v>4.018E-2</v>
      </c>
      <c r="H177" s="29">
        <f t="shared" ref="H177:H187" si="45">$I$168</f>
        <v>1</v>
      </c>
      <c r="I177" s="34">
        <f t="shared" si="44"/>
        <v>4.018E-2</v>
      </c>
      <c r="J177" s="18" t="s">
        <v>10</v>
      </c>
    </row>
    <row r="178" spans="1:10">
      <c r="A178" s="18">
        <f>IF(LEN(B178)=0," ",COUNTA($B$30:B178))</f>
        <v>96</v>
      </c>
      <c r="B178" s="18">
        <v>6</v>
      </c>
      <c r="C178" s="4" t="s">
        <v>40</v>
      </c>
      <c r="D178" s="342" t="s">
        <v>59</v>
      </c>
      <c r="E178" s="343"/>
      <c r="F178" s="62">
        <f t="shared" si="42"/>
        <v>1E-3</v>
      </c>
      <c r="G178" s="4">
        <f>1360.05*F178</f>
        <v>1.36005</v>
      </c>
      <c r="H178" s="29">
        <f t="shared" si="45"/>
        <v>1</v>
      </c>
      <c r="I178" s="34">
        <f t="shared" si="44"/>
        <v>1.36005</v>
      </c>
      <c r="J178" s="18" t="s">
        <v>10</v>
      </c>
    </row>
    <row r="179" spans="1:10">
      <c r="A179" s="18">
        <f>IF(LEN(B179)=0," ",COUNTA($B$30:B179))</f>
        <v>97</v>
      </c>
      <c r="B179" s="18">
        <v>7</v>
      </c>
      <c r="C179" s="4" t="s">
        <v>41</v>
      </c>
      <c r="D179" s="342" t="s">
        <v>59</v>
      </c>
      <c r="E179" s="343"/>
      <c r="F179" s="62">
        <f t="shared" si="42"/>
        <v>1E-3</v>
      </c>
      <c r="G179" s="28">
        <f>31.69*F179</f>
        <v>3.1690000000000003E-2</v>
      </c>
      <c r="H179" s="29">
        <f t="shared" si="45"/>
        <v>1</v>
      </c>
      <c r="I179" s="34">
        <f t="shared" si="44"/>
        <v>3.1690000000000003E-2</v>
      </c>
      <c r="J179" s="18" t="s">
        <v>10</v>
      </c>
    </row>
    <row r="180" spans="1:10">
      <c r="A180" s="18">
        <f>IF(LEN(B180)=0," ",COUNTA($B$30:B180))</f>
        <v>98</v>
      </c>
      <c r="B180" s="18">
        <v>8</v>
      </c>
      <c r="C180" s="4" t="s">
        <v>42</v>
      </c>
      <c r="D180" s="342" t="s">
        <v>59</v>
      </c>
      <c r="E180" s="343"/>
      <c r="F180" s="62">
        <f t="shared" si="42"/>
        <v>1E-3</v>
      </c>
      <c r="G180" s="28">
        <f>826.85*F180</f>
        <v>0.82685000000000008</v>
      </c>
      <c r="H180" s="29">
        <f t="shared" si="45"/>
        <v>1</v>
      </c>
      <c r="I180" s="34">
        <f t="shared" si="44"/>
        <v>0.82685000000000008</v>
      </c>
      <c r="J180" s="18" t="s">
        <v>10</v>
      </c>
    </row>
    <row r="181" spans="1:10">
      <c r="A181" s="18">
        <f>IF(LEN(B181)=0," ",COUNTA($B$30:B181))</f>
        <v>99</v>
      </c>
      <c r="B181" s="18">
        <v>9</v>
      </c>
      <c r="C181" s="4" t="s">
        <v>61</v>
      </c>
      <c r="D181" s="342" t="s">
        <v>59</v>
      </c>
      <c r="E181" s="343"/>
      <c r="F181" s="62">
        <f t="shared" si="42"/>
        <v>1E-3</v>
      </c>
      <c r="G181" s="28">
        <f>150.87*F181</f>
        <v>0.15087</v>
      </c>
      <c r="H181" s="29">
        <f t="shared" si="45"/>
        <v>1</v>
      </c>
      <c r="I181" s="34">
        <f t="shared" si="44"/>
        <v>0.15087</v>
      </c>
      <c r="J181" s="18" t="s">
        <v>10</v>
      </c>
    </row>
    <row r="182" spans="1:10">
      <c r="A182" s="18">
        <f>IF(LEN(B182)=0," ",COUNTA($B$30:B182))</f>
        <v>100</v>
      </c>
      <c r="B182" s="18">
        <v>10</v>
      </c>
      <c r="C182" s="4" t="s">
        <v>43</v>
      </c>
      <c r="D182" s="18" t="s">
        <v>79</v>
      </c>
      <c r="E182" s="21" t="s">
        <v>99</v>
      </c>
      <c r="F182" s="62">
        <f t="shared" si="42"/>
        <v>0.01</v>
      </c>
      <c r="G182" s="28">
        <f ca="1">Eval(E182)*F182</f>
        <v>2.7530000000000002E-2</v>
      </c>
      <c r="H182" s="29">
        <f t="shared" si="45"/>
        <v>1</v>
      </c>
      <c r="I182" s="34">
        <f t="shared" ca="1" si="44"/>
        <v>2.7530000000000002E-2</v>
      </c>
      <c r="J182" s="18" t="s">
        <v>4</v>
      </c>
    </row>
    <row r="183" spans="1:10">
      <c r="A183" s="18">
        <f>IF(LEN(B183)=0," ",COUNTA($B$30:B183))</f>
        <v>101</v>
      </c>
      <c r="B183" s="18">
        <v>11</v>
      </c>
      <c r="C183" s="4" t="s">
        <v>44</v>
      </c>
      <c r="D183" s="18" t="s">
        <v>62</v>
      </c>
      <c r="E183" s="18" t="s">
        <v>100</v>
      </c>
      <c r="F183" s="62">
        <f t="shared" si="42"/>
        <v>0.01</v>
      </c>
      <c r="G183" s="28">
        <f ca="1">Eval(E183)*F183</f>
        <v>0.13664999999999999</v>
      </c>
      <c r="H183" s="29">
        <f t="shared" si="45"/>
        <v>1</v>
      </c>
      <c r="I183" s="34">
        <f t="shared" ca="1" si="44"/>
        <v>0.13664999999999999</v>
      </c>
      <c r="J183" s="18" t="s">
        <v>4</v>
      </c>
    </row>
    <row r="184" spans="1:10">
      <c r="A184" s="18">
        <f>IF(LEN(B184)=0," ",COUNTA($B$30:B184))</f>
        <v>102</v>
      </c>
      <c r="B184" s="18">
        <v>12</v>
      </c>
      <c r="C184" s="4" t="s">
        <v>12</v>
      </c>
      <c r="D184" s="18"/>
      <c r="E184" s="22"/>
      <c r="F184" s="62"/>
      <c r="G184" s="28"/>
      <c r="H184" s="29">
        <f t="shared" si="45"/>
        <v>1</v>
      </c>
      <c r="I184" s="34">
        <f ca="1">SUM(I185:I187)</f>
        <v>0.66322589999999992</v>
      </c>
      <c r="J184" s="18" t="s">
        <v>4</v>
      </c>
    </row>
    <row r="185" spans="1:10">
      <c r="A185" s="18"/>
      <c r="B185" s="18"/>
      <c r="C185" s="19" t="s">
        <v>45</v>
      </c>
      <c r="D185" s="18" t="s">
        <v>62</v>
      </c>
      <c r="E185" s="20" t="s">
        <v>93</v>
      </c>
      <c r="F185" s="62">
        <f t="shared" ref="F185:F190" si="46">VLOOKUP(J185,$R$2:$S$22,2,0)</f>
        <v>0.01</v>
      </c>
      <c r="G185" s="28">
        <f t="shared" ref="G185:G190" ca="1" si="47">Eval(E185)*F185</f>
        <v>0.32649389999999995</v>
      </c>
      <c r="H185" s="29">
        <f t="shared" si="45"/>
        <v>1</v>
      </c>
      <c r="I185" s="34">
        <f t="shared" ref="I185:I190" ca="1" si="48">G185*H185</f>
        <v>0.32649389999999995</v>
      </c>
      <c r="J185" s="18" t="s">
        <v>4</v>
      </c>
    </row>
    <row r="186" spans="1:10">
      <c r="A186" s="18"/>
      <c r="B186" s="18"/>
      <c r="C186" s="19" t="s">
        <v>46</v>
      </c>
      <c r="D186" s="18" t="s">
        <v>62</v>
      </c>
      <c r="E186" s="20" t="s">
        <v>94</v>
      </c>
      <c r="F186" s="62">
        <f t="shared" si="46"/>
        <v>0.01</v>
      </c>
      <c r="G186" s="28">
        <f t="shared" ca="1" si="47"/>
        <v>0.32533200000000001</v>
      </c>
      <c r="H186" s="29">
        <f t="shared" si="45"/>
        <v>1</v>
      </c>
      <c r="I186" s="34">
        <f t="shared" ca="1" si="48"/>
        <v>0.32533200000000001</v>
      </c>
      <c r="J186" s="18" t="s">
        <v>4</v>
      </c>
    </row>
    <row r="187" spans="1:10">
      <c r="A187" s="18"/>
      <c r="B187" s="18"/>
      <c r="C187" s="19" t="s">
        <v>47</v>
      </c>
      <c r="D187" s="18" t="s">
        <v>67</v>
      </c>
      <c r="E187" s="20" t="s">
        <v>68</v>
      </c>
      <c r="F187" s="62">
        <f t="shared" si="46"/>
        <v>0.01</v>
      </c>
      <c r="G187" s="28">
        <f t="shared" ca="1" si="47"/>
        <v>1.1399999999999999E-2</v>
      </c>
      <c r="H187" s="29">
        <f t="shared" si="45"/>
        <v>1</v>
      </c>
      <c r="I187" s="34">
        <f t="shared" ca="1" si="48"/>
        <v>1.1399999999999999E-2</v>
      </c>
      <c r="J187" s="18" t="s">
        <v>4</v>
      </c>
    </row>
    <row r="188" spans="1:10">
      <c r="A188" s="18">
        <f>IF(LEN(B188)=0," ",COUNTA($B$30:B188))</f>
        <v>103</v>
      </c>
      <c r="B188" s="18">
        <v>13</v>
      </c>
      <c r="C188" s="4" t="s">
        <v>48</v>
      </c>
      <c r="D188" s="18" t="s">
        <v>69</v>
      </c>
      <c r="E188" s="21" t="s">
        <v>70</v>
      </c>
      <c r="F188" s="62">
        <f t="shared" si="46"/>
        <v>0.01</v>
      </c>
      <c r="G188" s="28">
        <f t="shared" ca="1" si="47"/>
        <v>2.5400000000000002E-2</v>
      </c>
      <c r="H188" s="29">
        <f>$I$168*3</f>
        <v>3</v>
      </c>
      <c r="I188" s="34">
        <f t="shared" ca="1" si="48"/>
        <v>7.6200000000000004E-2</v>
      </c>
      <c r="J188" s="18" t="s">
        <v>4</v>
      </c>
    </row>
    <row r="189" spans="1:10">
      <c r="A189" s="18">
        <f>IF(LEN(B189)=0," ",COUNTA($B$30:B189))</f>
        <v>104</v>
      </c>
      <c r="B189" s="18">
        <v>14</v>
      </c>
      <c r="C189" s="4" t="s">
        <v>49</v>
      </c>
      <c r="D189" s="18" t="s">
        <v>72</v>
      </c>
      <c r="E189" s="18" t="s">
        <v>73</v>
      </c>
      <c r="F189" s="62">
        <f t="shared" si="46"/>
        <v>1</v>
      </c>
      <c r="G189" s="28">
        <f t="shared" ca="1" si="47"/>
        <v>6</v>
      </c>
      <c r="H189" s="29">
        <f>$I$168</f>
        <v>1</v>
      </c>
      <c r="I189" s="34">
        <f t="shared" ca="1" si="48"/>
        <v>6</v>
      </c>
      <c r="J189" s="18" t="s">
        <v>2</v>
      </c>
    </row>
    <row r="190" spans="1:10">
      <c r="A190" s="18">
        <f>IF(LEN(B190)=0," ",COUNTA($B$30:B190))</f>
        <v>105</v>
      </c>
      <c r="B190" s="18">
        <v>15</v>
      </c>
      <c r="C190" s="4" t="s">
        <v>124</v>
      </c>
      <c r="D190" s="18" t="s">
        <v>71</v>
      </c>
      <c r="E190" s="20" t="s">
        <v>74</v>
      </c>
      <c r="F190" s="62">
        <f t="shared" si="46"/>
        <v>1</v>
      </c>
      <c r="G190" s="28">
        <f t="shared" ca="1" si="47"/>
        <v>7.4</v>
      </c>
      <c r="H190" s="29">
        <f>$I$168</f>
        <v>1</v>
      </c>
      <c r="I190" s="34">
        <f t="shared" ca="1" si="48"/>
        <v>7.4</v>
      </c>
      <c r="J190" s="18" t="s">
        <v>2</v>
      </c>
    </row>
    <row r="191" spans="1:10">
      <c r="A191" s="58" t="s">
        <v>101</v>
      </c>
      <c r="B191" s="58"/>
      <c r="C191" s="7" t="s">
        <v>102</v>
      </c>
      <c r="D191" s="58"/>
      <c r="E191" s="58"/>
      <c r="F191" s="63"/>
      <c r="G191" s="7"/>
      <c r="H191" s="17"/>
      <c r="I191" s="34">
        <v>1</v>
      </c>
      <c r="J191" s="58" t="s">
        <v>24</v>
      </c>
    </row>
    <row r="192" spans="1:10">
      <c r="A192" s="18">
        <f>IF(LEN(B192)=0," ",COUNTA($B$30:B192))</f>
        <v>106</v>
      </c>
      <c r="B192" s="18">
        <v>1</v>
      </c>
      <c r="C192" s="4" t="s">
        <v>33</v>
      </c>
      <c r="D192" s="18"/>
      <c r="E192" s="58"/>
      <c r="F192" s="62">
        <f t="shared" ref="F192:F206" si="49">VLOOKUP(J192,$R$2:$S$22,2,0)</f>
        <v>1</v>
      </c>
      <c r="G192" s="4"/>
      <c r="H192" s="29">
        <f t="shared" ref="H192:H198" si="50">$I$191</f>
        <v>1</v>
      </c>
      <c r="I192" s="34">
        <f ca="1">SUM(I193:I194)</f>
        <v>5.0190349999999997</v>
      </c>
      <c r="J192" s="18" t="s">
        <v>5</v>
      </c>
    </row>
    <row r="193" spans="1:10">
      <c r="A193" s="18"/>
      <c r="B193" s="18"/>
      <c r="C193" s="19" t="s">
        <v>342</v>
      </c>
      <c r="D193" s="18" t="s">
        <v>76</v>
      </c>
      <c r="E193" s="20" t="s">
        <v>103</v>
      </c>
      <c r="F193" s="62">
        <f t="shared" si="49"/>
        <v>1</v>
      </c>
      <c r="G193" s="23">
        <f ca="1">Eval(E193)*F193</f>
        <v>5.1537850000000001</v>
      </c>
      <c r="H193" s="29">
        <f t="shared" si="50"/>
        <v>1</v>
      </c>
      <c r="I193" s="34">
        <f ca="1">G193*H193</f>
        <v>5.1537850000000001</v>
      </c>
      <c r="J193" s="18" t="s">
        <v>5</v>
      </c>
    </row>
    <row r="194" spans="1:10">
      <c r="A194" s="18"/>
      <c r="B194" s="18"/>
      <c r="C194" s="19" t="s">
        <v>35</v>
      </c>
      <c r="D194" s="18" t="s">
        <v>55</v>
      </c>
      <c r="E194" s="25" t="s">
        <v>51</v>
      </c>
      <c r="F194" s="62">
        <f t="shared" si="49"/>
        <v>1</v>
      </c>
      <c r="G194" s="23">
        <f ca="1">Eval(E194)*F194</f>
        <v>-0.13474999999999998</v>
      </c>
      <c r="H194" s="29">
        <f t="shared" si="50"/>
        <v>1</v>
      </c>
      <c r="I194" s="34">
        <f ca="1">G194*H194</f>
        <v>-0.13474999999999998</v>
      </c>
      <c r="J194" s="18" t="s">
        <v>5</v>
      </c>
    </row>
    <row r="195" spans="1:10">
      <c r="A195" s="18">
        <f>IF(LEN(B195)=0," ",COUNTA($B$30:B195))</f>
        <v>107</v>
      </c>
      <c r="B195" s="18">
        <v>2</v>
      </c>
      <c r="C195" s="4" t="s">
        <v>36</v>
      </c>
      <c r="D195" s="18"/>
      <c r="E195" s="4"/>
      <c r="F195" s="62">
        <f t="shared" si="49"/>
        <v>1</v>
      </c>
      <c r="G195" s="23"/>
      <c r="H195" s="29">
        <f t="shared" si="50"/>
        <v>1</v>
      </c>
      <c r="I195" s="34">
        <f ca="1">SUM(I196:I197)</f>
        <v>24.568850000000001</v>
      </c>
      <c r="J195" s="18" t="s">
        <v>5</v>
      </c>
    </row>
    <row r="196" spans="1:10" s="5" customFormat="1">
      <c r="A196" s="18"/>
      <c r="B196" s="18"/>
      <c r="C196" s="19" t="s">
        <v>344</v>
      </c>
      <c r="D196" s="18" t="s">
        <v>54</v>
      </c>
      <c r="E196" s="24" t="s">
        <v>104</v>
      </c>
      <c r="F196" s="62">
        <f t="shared" si="49"/>
        <v>1</v>
      </c>
      <c r="G196" s="23">
        <f ca="1">Eval(E196)*F196</f>
        <v>24.636225</v>
      </c>
      <c r="H196" s="29">
        <f t="shared" si="50"/>
        <v>1</v>
      </c>
      <c r="I196" s="34">
        <f t="shared" ref="I196:I206" ca="1" si="51">G196*H196</f>
        <v>24.636225</v>
      </c>
      <c r="J196" s="18" t="s">
        <v>5</v>
      </c>
    </row>
    <row r="197" spans="1:10">
      <c r="A197" s="18"/>
      <c r="B197" s="18"/>
      <c r="C197" s="19" t="s">
        <v>35</v>
      </c>
      <c r="D197" s="18" t="s">
        <v>55</v>
      </c>
      <c r="E197" s="26" t="s">
        <v>52</v>
      </c>
      <c r="F197" s="62">
        <f t="shared" si="49"/>
        <v>1</v>
      </c>
      <c r="G197" s="23">
        <f ca="1">Eval(E197)*F197</f>
        <v>-6.737499999999999E-2</v>
      </c>
      <c r="H197" s="29">
        <f t="shared" si="50"/>
        <v>1</v>
      </c>
      <c r="I197" s="34">
        <f t="shared" ca="1" si="51"/>
        <v>-6.737499999999999E-2</v>
      </c>
      <c r="J197" s="18" t="s">
        <v>5</v>
      </c>
    </row>
    <row r="198" spans="1:10">
      <c r="A198" s="18">
        <f>IF(LEN(B198)=0," ",COUNTA($B$30:B198))</f>
        <v>108</v>
      </c>
      <c r="B198" s="18">
        <v>3</v>
      </c>
      <c r="C198" s="4" t="s">
        <v>37</v>
      </c>
      <c r="D198" s="18" t="s">
        <v>56</v>
      </c>
      <c r="E198" s="27" t="s">
        <v>105</v>
      </c>
      <c r="F198" s="62">
        <f t="shared" si="49"/>
        <v>1</v>
      </c>
      <c r="G198" s="23">
        <f ca="1">Eval(E198)*F198</f>
        <v>13.292399999999999</v>
      </c>
      <c r="H198" s="29">
        <f t="shared" si="50"/>
        <v>1</v>
      </c>
      <c r="I198" s="34">
        <f t="shared" ca="1" si="51"/>
        <v>13.292399999999999</v>
      </c>
      <c r="J198" s="18" t="s">
        <v>5</v>
      </c>
    </row>
    <row r="199" spans="1:10">
      <c r="A199" s="18">
        <f>IF(LEN(B199)=0," ",COUNTA($B$30:B199))</f>
        <v>109</v>
      </c>
      <c r="B199" s="18">
        <v>4</v>
      </c>
      <c r="C199" s="4" t="s">
        <v>38</v>
      </c>
      <c r="D199" s="18" t="s">
        <v>57</v>
      </c>
      <c r="E199" s="21" t="s">
        <v>58</v>
      </c>
      <c r="F199" s="62">
        <f t="shared" si="49"/>
        <v>1</v>
      </c>
      <c r="G199" s="23">
        <f ca="1">Eval(E199)*F199</f>
        <v>0.38100000000000001</v>
      </c>
      <c r="H199" s="29">
        <f>$I$191*3</f>
        <v>3</v>
      </c>
      <c r="I199" s="34">
        <f t="shared" ca="1" si="51"/>
        <v>1.143</v>
      </c>
      <c r="J199" s="18" t="s">
        <v>5</v>
      </c>
    </row>
    <row r="200" spans="1:10">
      <c r="A200" s="18">
        <f>IF(LEN(B200)=0," ",COUNTA($B$30:B200))</f>
        <v>110</v>
      </c>
      <c r="B200" s="18">
        <v>5</v>
      </c>
      <c r="C200" s="4" t="s">
        <v>39</v>
      </c>
      <c r="D200" s="342" t="s">
        <v>59</v>
      </c>
      <c r="E200" s="343"/>
      <c r="F200" s="62">
        <f t="shared" si="49"/>
        <v>1E-3</v>
      </c>
      <c r="G200" s="4">
        <f>39.06*F200</f>
        <v>3.9060000000000004E-2</v>
      </c>
      <c r="H200" s="29">
        <f t="shared" ref="H200:H210" si="52">$I$191</f>
        <v>1</v>
      </c>
      <c r="I200" s="34">
        <f t="shared" si="51"/>
        <v>3.9060000000000004E-2</v>
      </c>
      <c r="J200" s="18" t="s">
        <v>10</v>
      </c>
    </row>
    <row r="201" spans="1:10">
      <c r="A201" s="18">
        <f>IF(LEN(B201)=0," ",COUNTA($B$30:B201))</f>
        <v>111</v>
      </c>
      <c r="B201" s="18">
        <v>6</v>
      </c>
      <c r="C201" s="4" t="s">
        <v>40</v>
      </c>
      <c r="D201" s="342" t="s">
        <v>59</v>
      </c>
      <c r="E201" s="343"/>
      <c r="F201" s="62">
        <f t="shared" si="49"/>
        <v>1E-3</v>
      </c>
      <c r="G201" s="4">
        <f>1340.41*F201</f>
        <v>1.3404100000000001</v>
      </c>
      <c r="H201" s="29">
        <f t="shared" si="52"/>
        <v>1</v>
      </c>
      <c r="I201" s="34">
        <f t="shared" si="51"/>
        <v>1.3404100000000001</v>
      </c>
      <c r="J201" s="18" t="s">
        <v>10</v>
      </c>
    </row>
    <row r="202" spans="1:10">
      <c r="A202" s="18">
        <f>IF(LEN(B202)=0," ",COUNTA($B$30:B202))</f>
        <v>112</v>
      </c>
      <c r="B202" s="18">
        <v>7</v>
      </c>
      <c r="C202" s="4" t="s">
        <v>41</v>
      </c>
      <c r="D202" s="342" t="s">
        <v>59</v>
      </c>
      <c r="E202" s="343"/>
      <c r="F202" s="62">
        <f t="shared" si="49"/>
        <v>1E-3</v>
      </c>
      <c r="G202" s="28">
        <f>31.69*F202</f>
        <v>3.1690000000000003E-2</v>
      </c>
      <c r="H202" s="29">
        <f t="shared" si="52"/>
        <v>1</v>
      </c>
      <c r="I202" s="34">
        <f t="shared" si="51"/>
        <v>3.1690000000000003E-2</v>
      </c>
      <c r="J202" s="18" t="s">
        <v>10</v>
      </c>
    </row>
    <row r="203" spans="1:10">
      <c r="A203" s="18">
        <f>IF(LEN(B203)=0," ",COUNTA($B$30:B203))</f>
        <v>113</v>
      </c>
      <c r="B203" s="18">
        <v>8</v>
      </c>
      <c r="C203" s="4" t="s">
        <v>42</v>
      </c>
      <c r="D203" s="342" t="s">
        <v>59</v>
      </c>
      <c r="E203" s="343"/>
      <c r="F203" s="62">
        <f t="shared" si="49"/>
        <v>1E-3</v>
      </c>
      <c r="G203" s="28">
        <f>827.85*F203</f>
        <v>0.82785000000000009</v>
      </c>
      <c r="H203" s="29">
        <f t="shared" si="52"/>
        <v>1</v>
      </c>
      <c r="I203" s="34">
        <f t="shared" si="51"/>
        <v>0.82785000000000009</v>
      </c>
      <c r="J203" s="18" t="s">
        <v>10</v>
      </c>
    </row>
    <row r="204" spans="1:10">
      <c r="A204" s="18">
        <f>IF(LEN(B204)=0," ",COUNTA($B$30:B204))</f>
        <v>114</v>
      </c>
      <c r="B204" s="18">
        <v>9</v>
      </c>
      <c r="C204" s="4" t="s">
        <v>61</v>
      </c>
      <c r="D204" s="342" t="s">
        <v>59</v>
      </c>
      <c r="E204" s="343"/>
      <c r="F204" s="62">
        <f t="shared" si="49"/>
        <v>1E-3</v>
      </c>
      <c r="G204" s="28">
        <f>150.87*F204</f>
        <v>0.15087</v>
      </c>
      <c r="H204" s="29">
        <f t="shared" si="52"/>
        <v>1</v>
      </c>
      <c r="I204" s="34">
        <f t="shared" si="51"/>
        <v>0.15087</v>
      </c>
      <c r="J204" s="18" t="s">
        <v>10</v>
      </c>
    </row>
    <row r="205" spans="1:10">
      <c r="A205" s="18">
        <f>IF(LEN(B205)=0," ",COUNTA($B$30:B205))</f>
        <v>115</v>
      </c>
      <c r="B205" s="18">
        <v>10</v>
      </c>
      <c r="C205" s="4" t="s">
        <v>43</v>
      </c>
      <c r="D205" s="18" t="s">
        <v>79</v>
      </c>
      <c r="E205" s="21" t="s">
        <v>106</v>
      </c>
      <c r="F205" s="62">
        <f t="shared" si="49"/>
        <v>0.01</v>
      </c>
      <c r="G205" s="28">
        <f ca="1">Eval(E205)*F205</f>
        <v>2.7204000000000002E-2</v>
      </c>
      <c r="H205" s="29">
        <f t="shared" si="52"/>
        <v>1</v>
      </c>
      <c r="I205" s="34">
        <f t="shared" ca="1" si="51"/>
        <v>2.7204000000000002E-2</v>
      </c>
      <c r="J205" s="18" t="s">
        <v>4</v>
      </c>
    </row>
    <row r="206" spans="1:10">
      <c r="A206" s="18">
        <f>IF(LEN(B206)=0," ",COUNTA($B$30:B206))</f>
        <v>116</v>
      </c>
      <c r="B206" s="18">
        <v>11</v>
      </c>
      <c r="C206" s="4" t="s">
        <v>44</v>
      </c>
      <c r="D206" s="18" t="s">
        <v>62</v>
      </c>
      <c r="E206" s="18" t="s">
        <v>107</v>
      </c>
      <c r="F206" s="62">
        <f t="shared" si="49"/>
        <v>0.01</v>
      </c>
      <c r="G206" s="28">
        <f ca="1">Eval(E206)*F206</f>
        <v>0.13502</v>
      </c>
      <c r="H206" s="29">
        <f t="shared" si="52"/>
        <v>1</v>
      </c>
      <c r="I206" s="34">
        <f t="shared" ca="1" si="51"/>
        <v>0.13502</v>
      </c>
      <c r="J206" s="18" t="s">
        <v>4</v>
      </c>
    </row>
    <row r="207" spans="1:10">
      <c r="A207" s="18">
        <f>IF(LEN(B207)=0," ",COUNTA($B$30:B207))</f>
        <v>117</v>
      </c>
      <c r="B207" s="18">
        <v>12</v>
      </c>
      <c r="C207" s="4" t="s">
        <v>12</v>
      </c>
      <c r="D207" s="18"/>
      <c r="E207" s="22"/>
      <c r="F207" s="62"/>
      <c r="G207" s="28"/>
      <c r="H207" s="29">
        <f t="shared" si="52"/>
        <v>1</v>
      </c>
      <c r="I207" s="34">
        <f ca="1">SUM(I208:I210)</f>
        <v>0.66552599999999995</v>
      </c>
      <c r="J207" s="18" t="s">
        <v>4</v>
      </c>
    </row>
    <row r="208" spans="1:10">
      <c r="A208" s="18"/>
      <c r="B208" s="18"/>
      <c r="C208" s="19" t="s">
        <v>45</v>
      </c>
      <c r="D208" s="18" t="s">
        <v>62</v>
      </c>
      <c r="E208" s="20" t="s">
        <v>108</v>
      </c>
      <c r="F208" s="62">
        <f t="shared" ref="F208:F213" si="53">VLOOKUP(J208,$R$2:$S$22,2,0)</f>
        <v>0.01</v>
      </c>
      <c r="G208" s="28">
        <f t="shared" ref="G208:G213" ca="1" si="54">Eval(E208)*F208</f>
        <v>0.32764600000000005</v>
      </c>
      <c r="H208" s="29">
        <f t="shared" si="52"/>
        <v>1</v>
      </c>
      <c r="I208" s="34">
        <f t="shared" ref="I208:I213" ca="1" si="55">G208*H208</f>
        <v>0.32764600000000005</v>
      </c>
      <c r="J208" s="18" t="s">
        <v>4</v>
      </c>
    </row>
    <row r="209" spans="1:10">
      <c r="A209" s="18"/>
      <c r="B209" s="18"/>
      <c r="C209" s="19" t="s">
        <v>46</v>
      </c>
      <c r="D209" s="18" t="s">
        <v>62</v>
      </c>
      <c r="E209" s="20" t="s">
        <v>109</v>
      </c>
      <c r="F209" s="62">
        <f t="shared" si="53"/>
        <v>0.01</v>
      </c>
      <c r="G209" s="28">
        <f t="shared" ca="1" si="54"/>
        <v>0.32647999999999999</v>
      </c>
      <c r="H209" s="29">
        <f t="shared" si="52"/>
        <v>1</v>
      </c>
      <c r="I209" s="34">
        <f t="shared" ca="1" si="55"/>
        <v>0.32647999999999999</v>
      </c>
      <c r="J209" s="18" t="s">
        <v>4</v>
      </c>
    </row>
    <row r="210" spans="1:10">
      <c r="A210" s="18"/>
      <c r="B210" s="18"/>
      <c r="C210" s="19" t="s">
        <v>47</v>
      </c>
      <c r="D210" s="18" t="s">
        <v>67</v>
      </c>
      <c r="E210" s="20" t="s">
        <v>68</v>
      </c>
      <c r="F210" s="62">
        <f t="shared" si="53"/>
        <v>0.01</v>
      </c>
      <c r="G210" s="28">
        <f t="shared" ca="1" si="54"/>
        <v>1.1399999999999999E-2</v>
      </c>
      <c r="H210" s="29">
        <f t="shared" si="52"/>
        <v>1</v>
      </c>
      <c r="I210" s="34">
        <f t="shared" ca="1" si="55"/>
        <v>1.1399999999999999E-2</v>
      </c>
      <c r="J210" s="18" t="s">
        <v>4</v>
      </c>
    </row>
    <row r="211" spans="1:10">
      <c r="A211" s="18">
        <f>IF(LEN(B211)=0," ",COUNTA($B$30:B211))</f>
        <v>118</v>
      </c>
      <c r="B211" s="18">
        <v>13</v>
      </c>
      <c r="C211" s="4" t="s">
        <v>48</v>
      </c>
      <c r="D211" s="18" t="s">
        <v>69</v>
      </c>
      <c r="E211" s="21" t="s">
        <v>70</v>
      </c>
      <c r="F211" s="62">
        <f t="shared" si="53"/>
        <v>0.01</v>
      </c>
      <c r="G211" s="28">
        <f t="shared" ca="1" si="54"/>
        <v>2.5400000000000002E-2</v>
      </c>
      <c r="H211" s="29">
        <f>$I$191*3</f>
        <v>3</v>
      </c>
      <c r="I211" s="34">
        <f t="shared" ca="1" si="55"/>
        <v>7.6200000000000004E-2</v>
      </c>
      <c r="J211" s="18" t="s">
        <v>4</v>
      </c>
    </row>
    <row r="212" spans="1:10">
      <c r="A212" s="18">
        <f>IF(LEN(B212)=0," ",COUNTA($B$30:B212))</f>
        <v>119</v>
      </c>
      <c r="B212" s="18">
        <v>14</v>
      </c>
      <c r="C212" s="4" t="s">
        <v>49</v>
      </c>
      <c r="D212" s="18" t="s">
        <v>72</v>
      </c>
      <c r="E212" s="18" t="s">
        <v>73</v>
      </c>
      <c r="F212" s="62">
        <f t="shared" si="53"/>
        <v>1</v>
      </c>
      <c r="G212" s="28">
        <f t="shared" ca="1" si="54"/>
        <v>6</v>
      </c>
      <c r="H212" s="29">
        <f>$I$191</f>
        <v>1</v>
      </c>
      <c r="I212" s="34">
        <f t="shared" ca="1" si="55"/>
        <v>6</v>
      </c>
      <c r="J212" s="18" t="s">
        <v>2</v>
      </c>
    </row>
    <row r="213" spans="1:10">
      <c r="A213" s="18">
        <f>IF(LEN(B213)=0," ",COUNTA($B$30:B213))</f>
        <v>120</v>
      </c>
      <c r="B213" s="18">
        <v>15</v>
      </c>
      <c r="C213" s="4" t="s">
        <v>124</v>
      </c>
      <c r="D213" s="18" t="s">
        <v>71</v>
      </c>
      <c r="E213" s="20" t="s">
        <v>74</v>
      </c>
      <c r="F213" s="62">
        <f t="shared" si="53"/>
        <v>1</v>
      </c>
      <c r="G213" s="28">
        <f t="shared" ca="1" si="54"/>
        <v>7.4</v>
      </c>
      <c r="H213" s="29">
        <f>$I$191</f>
        <v>1</v>
      </c>
      <c r="I213" s="34">
        <f t="shared" ca="1" si="55"/>
        <v>7.4</v>
      </c>
      <c r="J213" s="18" t="s">
        <v>2</v>
      </c>
    </row>
    <row r="214" spans="1:10">
      <c r="A214" s="58" t="s">
        <v>110</v>
      </c>
      <c r="B214" s="58"/>
      <c r="C214" s="7" t="s">
        <v>111</v>
      </c>
      <c r="D214" s="58"/>
      <c r="E214" s="58"/>
      <c r="F214" s="63"/>
      <c r="G214" s="7"/>
      <c r="H214" s="17"/>
      <c r="I214" s="34">
        <v>1</v>
      </c>
      <c r="J214" s="58" t="s">
        <v>24</v>
      </c>
    </row>
    <row r="215" spans="1:10">
      <c r="A215" s="18">
        <f>IF(LEN(B215)=0," ",COUNTA($B$30:B215))</f>
        <v>121</v>
      </c>
      <c r="B215" s="18">
        <v>1</v>
      </c>
      <c r="C215" s="4" t="s">
        <v>33</v>
      </c>
      <c r="D215" s="18"/>
      <c r="E215" s="58"/>
      <c r="F215" s="62">
        <f t="shared" ref="F215:F229" si="56">VLOOKUP(J215,$R$2:$S$22,2,0)</f>
        <v>1</v>
      </c>
      <c r="G215" s="4"/>
      <c r="H215" s="29">
        <f t="shared" ref="H215:H221" si="57">$I$214</f>
        <v>1</v>
      </c>
      <c r="I215" s="34">
        <f ca="1">SUM(I216:I217)</f>
        <v>3.2572200000000002</v>
      </c>
      <c r="J215" s="18" t="s">
        <v>5</v>
      </c>
    </row>
    <row r="216" spans="1:10">
      <c r="A216" s="18"/>
      <c r="B216" s="18"/>
      <c r="C216" s="19" t="s">
        <v>342</v>
      </c>
      <c r="D216" s="18" t="s">
        <v>76</v>
      </c>
      <c r="E216" s="20" t="s">
        <v>112</v>
      </c>
      <c r="F216" s="62">
        <f t="shared" si="56"/>
        <v>1</v>
      </c>
      <c r="G216" s="23">
        <f ca="1">Eval(E216)*F216</f>
        <v>3.3919700000000002</v>
      </c>
      <c r="H216" s="29">
        <f t="shared" si="57"/>
        <v>1</v>
      </c>
      <c r="I216" s="34">
        <f ca="1">G216*H216</f>
        <v>3.3919700000000002</v>
      </c>
      <c r="J216" s="18" t="s">
        <v>5</v>
      </c>
    </row>
    <row r="217" spans="1:10">
      <c r="A217" s="18"/>
      <c r="B217" s="18"/>
      <c r="C217" s="19" t="s">
        <v>35</v>
      </c>
      <c r="D217" s="18" t="s">
        <v>55</v>
      </c>
      <c r="E217" s="25" t="s">
        <v>51</v>
      </c>
      <c r="F217" s="62">
        <f t="shared" si="56"/>
        <v>1</v>
      </c>
      <c r="G217" s="23">
        <f ca="1">Eval(E217)*F217</f>
        <v>-0.13474999999999998</v>
      </c>
      <c r="H217" s="29">
        <f t="shared" si="57"/>
        <v>1</v>
      </c>
      <c r="I217" s="34">
        <f ca="1">G217*H217</f>
        <v>-0.13474999999999998</v>
      </c>
      <c r="J217" s="18" t="s">
        <v>5</v>
      </c>
    </row>
    <row r="218" spans="1:10">
      <c r="A218" s="18">
        <f>IF(LEN(B218)=0," ",COUNTA($B$30:B218))</f>
        <v>122</v>
      </c>
      <c r="B218" s="18">
        <v>2</v>
      </c>
      <c r="C218" s="4" t="s">
        <v>36</v>
      </c>
      <c r="D218" s="18"/>
      <c r="E218" s="4"/>
      <c r="F218" s="62">
        <f t="shared" si="56"/>
        <v>1</v>
      </c>
      <c r="G218" s="23"/>
      <c r="H218" s="29">
        <f t="shared" si="57"/>
        <v>1</v>
      </c>
      <c r="I218" s="34">
        <f ca="1">SUM(I219:I220)</f>
        <v>16.105475000000002</v>
      </c>
      <c r="J218" s="18" t="s">
        <v>5</v>
      </c>
    </row>
    <row r="219" spans="1:10" s="5" customFormat="1">
      <c r="A219" s="18"/>
      <c r="B219" s="18"/>
      <c r="C219" s="19" t="s">
        <v>344</v>
      </c>
      <c r="D219" s="18" t="s">
        <v>54</v>
      </c>
      <c r="E219" s="24" t="s">
        <v>113</v>
      </c>
      <c r="F219" s="62">
        <f t="shared" si="56"/>
        <v>1</v>
      </c>
      <c r="G219" s="23">
        <f ca="1">Eval(E219)*F219</f>
        <v>16.17285</v>
      </c>
      <c r="H219" s="29">
        <f t="shared" si="57"/>
        <v>1</v>
      </c>
      <c r="I219" s="34">
        <f t="shared" ref="I219:I229" ca="1" si="58">G219*H219</f>
        <v>16.17285</v>
      </c>
      <c r="J219" s="18" t="s">
        <v>5</v>
      </c>
    </row>
    <row r="220" spans="1:10">
      <c r="A220" s="18"/>
      <c r="B220" s="18"/>
      <c r="C220" s="19" t="s">
        <v>35</v>
      </c>
      <c r="D220" s="18" t="s">
        <v>55</v>
      </c>
      <c r="E220" s="26" t="s">
        <v>52</v>
      </c>
      <c r="F220" s="62">
        <f t="shared" si="56"/>
        <v>1</v>
      </c>
      <c r="G220" s="23">
        <f ca="1">Eval(E220)*F220</f>
        <v>-6.737499999999999E-2</v>
      </c>
      <c r="H220" s="29">
        <f t="shared" si="57"/>
        <v>1</v>
      </c>
      <c r="I220" s="34">
        <f t="shared" ca="1" si="58"/>
        <v>-6.737499999999999E-2</v>
      </c>
      <c r="J220" s="18" t="s">
        <v>5</v>
      </c>
    </row>
    <row r="221" spans="1:10">
      <c r="A221" s="18">
        <f>IF(LEN(B221)=0," ",COUNTA($B$30:B221))</f>
        <v>123</v>
      </c>
      <c r="B221" s="18">
        <v>3</v>
      </c>
      <c r="C221" s="4" t="s">
        <v>37</v>
      </c>
      <c r="D221" s="18" t="s">
        <v>56</v>
      </c>
      <c r="E221" s="27" t="s">
        <v>114</v>
      </c>
      <c r="F221" s="62">
        <f t="shared" si="56"/>
        <v>1</v>
      </c>
      <c r="G221" s="23">
        <f ca="1">Eval(E221)*F221</f>
        <v>11.943779999999999</v>
      </c>
      <c r="H221" s="29">
        <f t="shared" si="57"/>
        <v>1</v>
      </c>
      <c r="I221" s="34">
        <f t="shared" ca="1" si="58"/>
        <v>11.943779999999999</v>
      </c>
      <c r="J221" s="18" t="s">
        <v>5</v>
      </c>
    </row>
    <row r="222" spans="1:10">
      <c r="A222" s="18">
        <f>IF(LEN(B222)=0," ",COUNTA($B$30:B222))</f>
        <v>124</v>
      </c>
      <c r="B222" s="18">
        <v>4</v>
      </c>
      <c r="C222" s="4" t="s">
        <v>38</v>
      </c>
      <c r="D222" s="18" t="s">
        <v>57</v>
      </c>
      <c r="E222" s="21" t="s">
        <v>58</v>
      </c>
      <c r="F222" s="62">
        <f t="shared" si="56"/>
        <v>1</v>
      </c>
      <c r="G222" s="23">
        <f ca="1">Eval(E222)*F222</f>
        <v>0.38100000000000001</v>
      </c>
      <c r="H222" s="29">
        <f>$I$214*3</f>
        <v>3</v>
      </c>
      <c r="I222" s="34">
        <f t="shared" ca="1" si="58"/>
        <v>1.143</v>
      </c>
      <c r="J222" s="18" t="s">
        <v>5</v>
      </c>
    </row>
    <row r="223" spans="1:10">
      <c r="A223" s="18">
        <f>IF(LEN(B223)=0," ",COUNTA($B$30:B223))</f>
        <v>125</v>
      </c>
      <c r="B223" s="18">
        <v>5</v>
      </c>
      <c r="C223" s="4" t="s">
        <v>39</v>
      </c>
      <c r="D223" s="342" t="s">
        <v>59</v>
      </c>
      <c r="E223" s="343"/>
      <c r="F223" s="62">
        <f t="shared" si="56"/>
        <v>1E-3</v>
      </c>
      <c r="G223" s="4">
        <f>24.18*F223</f>
        <v>2.418E-2</v>
      </c>
      <c r="H223" s="29">
        <f t="shared" ref="H223:H233" si="59">$I$214</f>
        <v>1</v>
      </c>
      <c r="I223" s="34">
        <f t="shared" si="58"/>
        <v>2.418E-2</v>
      </c>
      <c r="J223" s="18" t="s">
        <v>10</v>
      </c>
    </row>
    <row r="224" spans="1:10">
      <c r="A224" s="18">
        <f>IF(LEN(B224)=0," ",COUNTA($B$30:B224))</f>
        <v>126</v>
      </c>
      <c r="B224" s="18">
        <v>6</v>
      </c>
      <c r="C224" s="4" t="s">
        <v>40</v>
      </c>
      <c r="D224" s="342" t="s">
        <v>59</v>
      </c>
      <c r="E224" s="343"/>
      <c r="F224" s="62">
        <f t="shared" si="56"/>
        <v>1E-3</v>
      </c>
      <c r="G224" s="4">
        <f>783.78*F224</f>
        <v>0.78378000000000003</v>
      </c>
      <c r="H224" s="29">
        <f t="shared" si="59"/>
        <v>1</v>
      </c>
      <c r="I224" s="34">
        <f t="shared" si="58"/>
        <v>0.78378000000000003</v>
      </c>
      <c r="J224" s="18" t="s">
        <v>10</v>
      </c>
    </row>
    <row r="225" spans="1:10">
      <c r="A225" s="18">
        <f>IF(LEN(B225)=0," ",COUNTA($B$30:B225))</f>
        <v>127</v>
      </c>
      <c r="B225" s="18">
        <v>7</v>
      </c>
      <c r="C225" s="4" t="s">
        <v>41</v>
      </c>
      <c r="D225" s="342" t="s">
        <v>59</v>
      </c>
      <c r="E225" s="343"/>
      <c r="F225" s="62">
        <f t="shared" si="56"/>
        <v>1E-3</v>
      </c>
      <c r="G225" s="28">
        <f>28.17*F225</f>
        <v>2.8170000000000001E-2</v>
      </c>
      <c r="H225" s="29">
        <f t="shared" si="59"/>
        <v>1</v>
      </c>
      <c r="I225" s="34">
        <f t="shared" si="58"/>
        <v>2.8170000000000001E-2</v>
      </c>
      <c r="J225" s="18" t="s">
        <v>10</v>
      </c>
    </row>
    <row r="226" spans="1:10">
      <c r="A226" s="18">
        <f>IF(LEN(B226)=0," ",COUNTA($B$30:B226))</f>
        <v>128</v>
      </c>
      <c r="B226" s="18">
        <v>8</v>
      </c>
      <c r="C226" s="4" t="s">
        <v>42</v>
      </c>
      <c r="D226" s="342" t="s">
        <v>59</v>
      </c>
      <c r="E226" s="343"/>
      <c r="F226" s="62">
        <f t="shared" si="56"/>
        <v>1E-3</v>
      </c>
      <c r="G226" s="28">
        <f>768.47*F226</f>
        <v>0.7684700000000001</v>
      </c>
      <c r="H226" s="29">
        <f t="shared" si="59"/>
        <v>1</v>
      </c>
      <c r="I226" s="34">
        <f t="shared" si="58"/>
        <v>0.7684700000000001</v>
      </c>
      <c r="J226" s="18" t="s">
        <v>10</v>
      </c>
    </row>
    <row r="227" spans="1:10">
      <c r="A227" s="18">
        <f>IF(LEN(B227)=0," ",COUNTA($B$30:B227))</f>
        <v>129</v>
      </c>
      <c r="B227" s="18">
        <v>9</v>
      </c>
      <c r="C227" s="4" t="s">
        <v>61</v>
      </c>
      <c r="D227" s="342" t="s">
        <v>59</v>
      </c>
      <c r="E227" s="343"/>
      <c r="F227" s="62">
        <f t="shared" si="56"/>
        <v>1E-3</v>
      </c>
      <c r="G227" s="28">
        <f>150.87*F227</f>
        <v>0.15087</v>
      </c>
      <c r="H227" s="29">
        <f t="shared" si="59"/>
        <v>1</v>
      </c>
      <c r="I227" s="34">
        <f t="shared" si="58"/>
        <v>0.15087</v>
      </c>
      <c r="J227" s="18" t="s">
        <v>10</v>
      </c>
    </row>
    <row r="228" spans="1:10">
      <c r="A228" s="18">
        <f>IF(LEN(B228)=0," ",COUNTA($B$30:B228))</f>
        <v>130</v>
      </c>
      <c r="B228" s="18">
        <v>10</v>
      </c>
      <c r="C228" s="4" t="s">
        <v>43</v>
      </c>
      <c r="D228" s="18" t="s">
        <v>79</v>
      </c>
      <c r="E228" s="21" t="s">
        <v>115</v>
      </c>
      <c r="F228" s="62">
        <f t="shared" si="56"/>
        <v>0.01</v>
      </c>
      <c r="G228" s="28">
        <f ca="1">Eval(E228)*F228</f>
        <v>2.0049999999999998E-2</v>
      </c>
      <c r="H228" s="29">
        <f t="shared" si="59"/>
        <v>1</v>
      </c>
      <c r="I228" s="34">
        <f t="shared" ca="1" si="58"/>
        <v>2.0049999999999998E-2</v>
      </c>
      <c r="J228" s="18" t="s">
        <v>4</v>
      </c>
    </row>
    <row r="229" spans="1:10">
      <c r="A229" s="18">
        <f>IF(LEN(B229)=0," ",COUNTA($B$30:B229))</f>
        <v>131</v>
      </c>
      <c r="B229" s="18">
        <v>11</v>
      </c>
      <c r="C229" s="4" t="s">
        <v>44</v>
      </c>
      <c r="D229" s="18" t="s">
        <v>62</v>
      </c>
      <c r="E229" s="18" t="s">
        <v>116</v>
      </c>
      <c r="F229" s="62">
        <f t="shared" si="56"/>
        <v>0.01</v>
      </c>
      <c r="G229" s="28">
        <f ca="1">Eval(E229)*F229</f>
        <v>9.9250000000000005E-2</v>
      </c>
      <c r="H229" s="29">
        <f t="shared" si="59"/>
        <v>1</v>
      </c>
      <c r="I229" s="34">
        <f t="shared" ca="1" si="58"/>
        <v>9.9250000000000005E-2</v>
      </c>
      <c r="J229" s="18" t="s">
        <v>4</v>
      </c>
    </row>
    <row r="230" spans="1:10">
      <c r="A230" s="18">
        <f>IF(LEN(B230)=0," ",COUNTA($B$30:B230))</f>
        <v>132</v>
      </c>
      <c r="B230" s="18">
        <v>12</v>
      </c>
      <c r="C230" s="4" t="s">
        <v>12</v>
      </c>
      <c r="D230" s="18"/>
      <c r="E230" s="22"/>
      <c r="F230" s="62"/>
      <c r="G230" s="28"/>
      <c r="H230" s="29">
        <f t="shared" si="59"/>
        <v>1</v>
      </c>
      <c r="I230" s="34">
        <f ca="1">SUM(I231:I233)</f>
        <v>0.59915970000000007</v>
      </c>
      <c r="J230" s="18" t="s">
        <v>4</v>
      </c>
    </row>
    <row r="231" spans="1:10">
      <c r="A231" s="18"/>
      <c r="B231" s="18"/>
      <c r="C231" s="19" t="s">
        <v>45</v>
      </c>
      <c r="D231" s="18" t="s">
        <v>62</v>
      </c>
      <c r="E231" s="20" t="s">
        <v>117</v>
      </c>
      <c r="F231" s="62">
        <f t="shared" ref="F231:F236" si="60">VLOOKUP(J231,$R$2:$S$22,2,0)</f>
        <v>0.01</v>
      </c>
      <c r="G231" s="28">
        <f t="shared" ref="G231:G236" ca="1" si="61">Eval(E231)*F231</f>
        <v>0.29440370000000005</v>
      </c>
      <c r="H231" s="29">
        <f t="shared" si="59"/>
        <v>1</v>
      </c>
      <c r="I231" s="34">
        <f t="shared" ref="I231:I236" ca="1" si="62">G231*H231</f>
        <v>0.29440370000000005</v>
      </c>
      <c r="J231" s="18" t="s">
        <v>4</v>
      </c>
    </row>
    <row r="232" spans="1:10">
      <c r="A232" s="18"/>
      <c r="B232" s="18"/>
      <c r="C232" s="19" t="s">
        <v>46</v>
      </c>
      <c r="D232" s="18" t="s">
        <v>62</v>
      </c>
      <c r="E232" s="20" t="s">
        <v>118</v>
      </c>
      <c r="F232" s="62">
        <f t="shared" si="60"/>
        <v>0.01</v>
      </c>
      <c r="G232" s="28">
        <f t="shared" ca="1" si="61"/>
        <v>0.29335600000000001</v>
      </c>
      <c r="H232" s="29">
        <f t="shared" si="59"/>
        <v>1</v>
      </c>
      <c r="I232" s="34">
        <f t="shared" ca="1" si="62"/>
        <v>0.29335600000000001</v>
      </c>
      <c r="J232" s="18" t="s">
        <v>4</v>
      </c>
    </row>
    <row r="233" spans="1:10">
      <c r="A233" s="18"/>
      <c r="B233" s="18"/>
      <c r="C233" s="19" t="s">
        <v>47</v>
      </c>
      <c r="D233" s="18" t="s">
        <v>67</v>
      </c>
      <c r="E233" s="20" t="s">
        <v>68</v>
      </c>
      <c r="F233" s="62">
        <f t="shared" si="60"/>
        <v>0.01</v>
      </c>
      <c r="G233" s="28">
        <f t="shared" ca="1" si="61"/>
        <v>1.1399999999999999E-2</v>
      </c>
      <c r="H233" s="29">
        <f t="shared" si="59"/>
        <v>1</v>
      </c>
      <c r="I233" s="34">
        <f t="shared" ca="1" si="62"/>
        <v>1.1399999999999999E-2</v>
      </c>
      <c r="J233" s="18" t="s">
        <v>4</v>
      </c>
    </row>
    <row r="234" spans="1:10">
      <c r="A234" s="18">
        <f>IF(LEN(B234)=0," ",COUNTA($B$30:B234))</f>
        <v>133</v>
      </c>
      <c r="B234" s="18">
        <v>13</v>
      </c>
      <c r="C234" s="4" t="s">
        <v>48</v>
      </c>
      <c r="D234" s="18" t="s">
        <v>69</v>
      </c>
      <c r="E234" s="21" t="s">
        <v>70</v>
      </c>
      <c r="F234" s="62">
        <f t="shared" si="60"/>
        <v>0.01</v>
      </c>
      <c r="G234" s="28">
        <f t="shared" ca="1" si="61"/>
        <v>2.5400000000000002E-2</v>
      </c>
      <c r="H234" s="29">
        <f>$I$214*3</f>
        <v>3</v>
      </c>
      <c r="I234" s="34">
        <f t="shared" ca="1" si="62"/>
        <v>7.6200000000000004E-2</v>
      </c>
      <c r="J234" s="18" t="s">
        <v>4</v>
      </c>
    </row>
    <row r="235" spans="1:10">
      <c r="A235" s="18">
        <f>IF(LEN(B235)=0," ",COUNTA($B$30:B235))</f>
        <v>134</v>
      </c>
      <c r="B235" s="18">
        <v>14</v>
      </c>
      <c r="C235" s="4" t="s">
        <v>49</v>
      </c>
      <c r="D235" s="18" t="s">
        <v>72</v>
      </c>
      <c r="E235" s="18" t="s">
        <v>82</v>
      </c>
      <c r="F235" s="62">
        <f t="shared" si="60"/>
        <v>1</v>
      </c>
      <c r="G235" s="28">
        <f t="shared" ca="1" si="61"/>
        <v>5.5</v>
      </c>
      <c r="H235" s="29">
        <f>$I$214</f>
        <v>1</v>
      </c>
      <c r="I235" s="34">
        <f t="shared" ca="1" si="62"/>
        <v>5.5</v>
      </c>
      <c r="J235" s="18" t="s">
        <v>2</v>
      </c>
    </row>
    <row r="236" spans="1:10">
      <c r="A236" s="18">
        <f>IF(LEN(B236)=0," ",COUNTA($B$30:B236))</f>
        <v>135</v>
      </c>
      <c r="B236" s="18">
        <v>15</v>
      </c>
      <c r="C236" s="4" t="s">
        <v>124</v>
      </c>
      <c r="D236" s="18" t="s">
        <v>71</v>
      </c>
      <c r="E236" s="20" t="s">
        <v>74</v>
      </c>
      <c r="F236" s="62">
        <f t="shared" si="60"/>
        <v>1</v>
      </c>
      <c r="G236" s="28">
        <f t="shared" ca="1" si="61"/>
        <v>7.4</v>
      </c>
      <c r="H236" s="29">
        <f>$I$214</f>
        <v>1</v>
      </c>
      <c r="I236" s="34">
        <f t="shared" ca="1" si="62"/>
        <v>7.4</v>
      </c>
      <c r="J236" s="18" t="s">
        <v>2</v>
      </c>
    </row>
    <row r="237" spans="1:10">
      <c r="A237" s="58" t="s">
        <v>119</v>
      </c>
      <c r="B237" s="58"/>
      <c r="C237" s="7" t="s">
        <v>120</v>
      </c>
      <c r="D237" s="58"/>
      <c r="E237" s="58"/>
      <c r="F237" s="63"/>
      <c r="G237" s="7"/>
      <c r="H237" s="17"/>
      <c r="I237" s="34">
        <v>2</v>
      </c>
      <c r="J237" s="58" t="s">
        <v>24</v>
      </c>
    </row>
    <row r="238" spans="1:10">
      <c r="A238" s="18">
        <f>IF(LEN(B238)=0," ",COUNTA($B$30:B238))</f>
        <v>136</v>
      </c>
      <c r="B238" s="18">
        <v>3</v>
      </c>
      <c r="C238" s="4" t="s">
        <v>145</v>
      </c>
      <c r="D238" s="18" t="s">
        <v>56</v>
      </c>
      <c r="E238" s="27" t="s">
        <v>121</v>
      </c>
      <c r="F238" s="62">
        <f>VLOOKUP(J238,$R$2:$S$22,2,0)</f>
        <v>1</v>
      </c>
      <c r="G238" s="23">
        <f ca="1">Eval(E238)*F238</f>
        <v>3.0599999999999996</v>
      </c>
      <c r="H238" s="29">
        <f>I237</f>
        <v>2</v>
      </c>
      <c r="I238" s="34">
        <f ca="1">G238*H238</f>
        <v>6.1199999999999992</v>
      </c>
      <c r="J238" s="18" t="s">
        <v>5</v>
      </c>
    </row>
    <row r="239" spans="1:10">
      <c r="A239" s="18">
        <f>IF(LEN(B239)=0," ",COUNTA($B$30:B239))</f>
        <v>137</v>
      </c>
      <c r="B239" s="18">
        <v>7</v>
      </c>
      <c r="C239" s="4" t="s">
        <v>41</v>
      </c>
      <c r="D239" s="342" t="s">
        <v>59</v>
      </c>
      <c r="E239" s="343"/>
      <c r="F239" s="62">
        <f>VLOOKUP(J239,$R$2:$S$22,2,0)</f>
        <v>1E-3</v>
      </c>
      <c r="G239" s="28">
        <f>5.95*F239</f>
        <v>5.9500000000000004E-3</v>
      </c>
      <c r="H239" s="29">
        <v>2</v>
      </c>
      <c r="I239" s="34">
        <f>G239*H239</f>
        <v>1.1900000000000001E-2</v>
      </c>
      <c r="J239" s="18" t="s">
        <v>10</v>
      </c>
    </row>
    <row r="240" spans="1:10">
      <c r="A240" s="18">
        <f>IF(LEN(B240)=0," ",COUNTA($B$30:B240))</f>
        <v>138</v>
      </c>
      <c r="B240" s="18">
        <v>8</v>
      </c>
      <c r="C240" s="4" t="s">
        <v>42</v>
      </c>
      <c r="D240" s="342" t="s">
        <v>59</v>
      </c>
      <c r="E240" s="343"/>
      <c r="F240" s="62">
        <f>VLOOKUP(J240,$R$2:$S$22,2,0)</f>
        <v>1E-3</v>
      </c>
      <c r="G240" s="28">
        <f>313.25*F240</f>
        <v>0.31325000000000003</v>
      </c>
      <c r="H240" s="29">
        <v>2</v>
      </c>
      <c r="I240" s="34">
        <f>G240*H240</f>
        <v>0.62650000000000006</v>
      </c>
      <c r="J240" s="18" t="s">
        <v>10</v>
      </c>
    </row>
    <row r="241" spans="1:10">
      <c r="A241" s="18">
        <f>IF(LEN(B241)=0," ",COUNTA($B$30:B241))</f>
        <v>139</v>
      </c>
      <c r="B241" s="18">
        <v>12</v>
      </c>
      <c r="C241" s="4" t="s">
        <v>12</v>
      </c>
      <c r="D241" s="18" t="s">
        <v>122</v>
      </c>
      <c r="E241" s="22" t="s">
        <v>123</v>
      </c>
      <c r="F241" s="62">
        <f>VLOOKUP(J241,$R$2:$S$22,2,0)</f>
        <v>0.01</v>
      </c>
      <c r="G241" s="28">
        <f ca="1">Eval(E241)*F241</f>
        <v>0.20399999999999999</v>
      </c>
      <c r="H241" s="29">
        <v>2</v>
      </c>
      <c r="I241" s="34">
        <f ca="1">G241*H241</f>
        <v>0.40799999999999997</v>
      </c>
      <c r="J241" s="18" t="s">
        <v>4</v>
      </c>
    </row>
    <row r="242" spans="1:10">
      <c r="A242" s="58" t="s">
        <v>128</v>
      </c>
      <c r="B242" s="58"/>
      <c r="C242" s="7" t="s">
        <v>125</v>
      </c>
      <c r="D242" s="58"/>
      <c r="E242" s="58"/>
      <c r="F242" s="63"/>
      <c r="G242" s="7"/>
      <c r="H242" s="17"/>
      <c r="I242" s="34">
        <v>1</v>
      </c>
      <c r="J242" s="58" t="s">
        <v>24</v>
      </c>
    </row>
    <row r="243" spans="1:10">
      <c r="A243" s="18">
        <f>IF(LEN(B243)=0," ",COUNTA($B$30:B243))</f>
        <v>140</v>
      </c>
      <c r="B243" s="18">
        <v>1</v>
      </c>
      <c r="C243" s="4" t="s">
        <v>33</v>
      </c>
      <c r="D243" s="18"/>
      <c r="E243" s="58"/>
      <c r="F243" s="62">
        <f t="shared" ref="F243:F248" si="63">VLOOKUP(J243,$R$2:$S$22,2,0)</f>
        <v>1</v>
      </c>
      <c r="G243" s="4"/>
      <c r="H243" s="29">
        <f t="shared" ref="H243:H251" si="64">$I$242</f>
        <v>1</v>
      </c>
      <c r="I243" s="34">
        <f ca="1">SUM(I244:I245)</f>
        <v>5.2342499999999994</v>
      </c>
      <c r="J243" s="18" t="s">
        <v>5</v>
      </c>
    </row>
    <row r="244" spans="1:10">
      <c r="A244" s="18"/>
      <c r="B244" s="18"/>
      <c r="C244" s="19" t="s">
        <v>342</v>
      </c>
      <c r="D244" s="18" t="s">
        <v>54</v>
      </c>
      <c r="E244" s="20" t="s">
        <v>34</v>
      </c>
      <c r="F244" s="62">
        <f t="shared" si="63"/>
        <v>1</v>
      </c>
      <c r="G244" s="23">
        <f ca="1">Eval(E244)*F244</f>
        <v>5.3689999999999998</v>
      </c>
      <c r="H244" s="29">
        <f t="shared" si="64"/>
        <v>1</v>
      </c>
      <c r="I244" s="34">
        <f ca="1">G244 *H244</f>
        <v>5.3689999999999998</v>
      </c>
      <c r="J244" s="18" t="s">
        <v>5</v>
      </c>
    </row>
    <row r="245" spans="1:10">
      <c r="A245" s="18"/>
      <c r="B245" s="18"/>
      <c r="C245" s="19" t="s">
        <v>35</v>
      </c>
      <c r="D245" s="18" t="s">
        <v>55</v>
      </c>
      <c r="E245" s="25" t="s">
        <v>51</v>
      </c>
      <c r="F245" s="62">
        <f t="shared" si="63"/>
        <v>1</v>
      </c>
      <c r="G245" s="23">
        <f ca="1">Eval(E245)*F245</f>
        <v>-0.13474999999999998</v>
      </c>
      <c r="H245" s="29">
        <f t="shared" si="64"/>
        <v>1</v>
      </c>
      <c r="I245" s="34">
        <f ca="1">G245 *H245</f>
        <v>-0.13474999999999998</v>
      </c>
      <c r="J245" s="18" t="s">
        <v>5</v>
      </c>
    </row>
    <row r="246" spans="1:10">
      <c r="A246" s="18">
        <f>IF(LEN(B246)=0," ",COUNTA($B$30:B246))</f>
        <v>141</v>
      </c>
      <c r="B246" s="18">
        <v>2</v>
      </c>
      <c r="C246" s="4" t="s">
        <v>36</v>
      </c>
      <c r="D246" s="18"/>
      <c r="E246" s="4"/>
      <c r="F246" s="62">
        <f t="shared" si="63"/>
        <v>1</v>
      </c>
      <c r="G246" s="23"/>
      <c r="H246" s="29">
        <f t="shared" si="64"/>
        <v>1</v>
      </c>
      <c r="I246" s="34">
        <f ca="1">SUM(I247:I248)</f>
        <v>25.597625000000001</v>
      </c>
      <c r="J246" s="18" t="s">
        <v>5</v>
      </c>
    </row>
    <row r="247" spans="1:10" s="5" customFormat="1">
      <c r="A247" s="18"/>
      <c r="B247" s="18"/>
      <c r="C247" s="19" t="s">
        <v>344</v>
      </c>
      <c r="D247" s="18" t="s">
        <v>54</v>
      </c>
      <c r="E247" s="24" t="s">
        <v>50</v>
      </c>
      <c r="F247" s="62">
        <f t="shared" si="63"/>
        <v>1</v>
      </c>
      <c r="G247" s="23">
        <f ca="1">Eval(E247)*F247</f>
        <v>25.664999999999999</v>
      </c>
      <c r="H247" s="29">
        <f t="shared" si="64"/>
        <v>1</v>
      </c>
      <c r="I247" s="34">
        <f ca="1">G247*H247</f>
        <v>25.664999999999999</v>
      </c>
      <c r="J247" s="18" t="s">
        <v>5</v>
      </c>
    </row>
    <row r="248" spans="1:10">
      <c r="A248" s="18"/>
      <c r="B248" s="18"/>
      <c r="C248" s="19" t="s">
        <v>35</v>
      </c>
      <c r="D248" s="18" t="s">
        <v>55</v>
      </c>
      <c r="E248" s="26" t="s">
        <v>52</v>
      </c>
      <c r="F248" s="62">
        <f t="shared" si="63"/>
        <v>1</v>
      </c>
      <c r="G248" s="23">
        <f ca="1">Eval(E248)*F248</f>
        <v>-6.737499999999999E-2</v>
      </c>
      <c r="H248" s="29">
        <f t="shared" si="64"/>
        <v>1</v>
      </c>
      <c r="I248" s="34">
        <f ca="1">G248*H248</f>
        <v>-6.737499999999999E-2</v>
      </c>
      <c r="J248" s="18" t="s">
        <v>5</v>
      </c>
    </row>
    <row r="249" spans="1:10">
      <c r="A249" s="18">
        <f>IF(LEN(B249)=0," ",COUNTA($B$30:B249))</f>
        <v>142</v>
      </c>
      <c r="B249" s="18">
        <v>3</v>
      </c>
      <c r="C249" s="19" t="s">
        <v>37</v>
      </c>
      <c r="D249" s="18"/>
      <c r="E249" s="26"/>
      <c r="F249" s="62"/>
      <c r="G249" s="23"/>
      <c r="H249" s="29">
        <f t="shared" si="64"/>
        <v>1</v>
      </c>
      <c r="I249" s="34">
        <f ca="1">SUM(I250:I251)</f>
        <v>13.164</v>
      </c>
      <c r="J249" s="18"/>
    </row>
    <row r="250" spans="1:10">
      <c r="A250" s="18"/>
      <c r="C250" s="19" t="s">
        <v>126</v>
      </c>
      <c r="D250" s="18" t="s">
        <v>56</v>
      </c>
      <c r="E250" s="27" t="s">
        <v>53</v>
      </c>
      <c r="F250" s="62">
        <f t="shared" ref="F250:F259" si="65">VLOOKUP(J250,$R$2:$S$22,2,0)</f>
        <v>1</v>
      </c>
      <c r="G250" s="23">
        <f ca="1">Eval(E250)*F250</f>
        <v>13.452</v>
      </c>
      <c r="H250" s="29">
        <f t="shared" si="64"/>
        <v>1</v>
      </c>
      <c r="I250" s="34">
        <f t="shared" ref="I250:I259" ca="1" si="66">G250 *H250</f>
        <v>13.452</v>
      </c>
      <c r="J250" s="18" t="s">
        <v>5</v>
      </c>
    </row>
    <row r="251" spans="1:10">
      <c r="A251" s="18"/>
      <c r="C251" s="19" t="s">
        <v>127</v>
      </c>
      <c r="D251" s="18" t="s">
        <v>56</v>
      </c>
      <c r="E251" s="27" t="s">
        <v>137</v>
      </c>
      <c r="F251" s="62">
        <f t="shared" si="65"/>
        <v>1</v>
      </c>
      <c r="G251" s="23">
        <f ca="1">Eval(E251)*F251</f>
        <v>-0.28799999999999998</v>
      </c>
      <c r="H251" s="29">
        <f t="shared" si="64"/>
        <v>1</v>
      </c>
      <c r="I251" s="34">
        <f t="shared" ca="1" si="66"/>
        <v>-0.28799999999999998</v>
      </c>
      <c r="J251" s="18" t="s">
        <v>5</v>
      </c>
    </row>
    <row r="252" spans="1:10">
      <c r="A252" s="18">
        <f>IF(LEN(B252)=0," ",COUNTA($B$30:B252))</f>
        <v>143</v>
      </c>
      <c r="B252" s="18">
        <v>4</v>
      </c>
      <c r="C252" s="4" t="s">
        <v>38</v>
      </c>
      <c r="D252" s="18" t="s">
        <v>57</v>
      </c>
      <c r="E252" s="21" t="s">
        <v>58</v>
      </c>
      <c r="F252" s="62">
        <f t="shared" si="65"/>
        <v>1</v>
      </c>
      <c r="G252" s="23">
        <f ca="1">Eval(E252)*F252</f>
        <v>0.38100000000000001</v>
      </c>
      <c r="H252" s="29">
        <f>$I$242*3</f>
        <v>3</v>
      </c>
      <c r="I252" s="34">
        <f t="shared" ca="1" si="66"/>
        <v>1.143</v>
      </c>
      <c r="J252" s="18" t="s">
        <v>5</v>
      </c>
    </row>
    <row r="253" spans="1:10">
      <c r="A253" s="18">
        <f>IF(LEN(B253)=0," ",COUNTA($B$30:B253))</f>
        <v>144</v>
      </c>
      <c r="B253" s="18">
        <v>5</v>
      </c>
      <c r="C253" s="4" t="s">
        <v>39</v>
      </c>
      <c r="D253" s="342" t="s">
        <v>59</v>
      </c>
      <c r="E253" s="343"/>
      <c r="F253" s="62">
        <f t="shared" si="65"/>
        <v>1E-3</v>
      </c>
      <c r="G253" s="4">
        <f>40.18*F253</f>
        <v>4.018E-2</v>
      </c>
      <c r="H253" s="29">
        <f t="shared" ref="H253:H264" si="67">$I$242</f>
        <v>1</v>
      </c>
      <c r="I253" s="34">
        <f t="shared" si="66"/>
        <v>4.018E-2</v>
      </c>
      <c r="J253" s="18" t="s">
        <v>10</v>
      </c>
    </row>
    <row r="254" spans="1:10">
      <c r="A254" s="18">
        <f>IF(LEN(B254)=0," ",COUNTA($B$30:B254))</f>
        <v>145</v>
      </c>
      <c r="B254" s="18">
        <v>6</v>
      </c>
      <c r="C254" s="4" t="s">
        <v>40</v>
      </c>
      <c r="D254" s="342" t="s">
        <v>59</v>
      </c>
      <c r="E254" s="343"/>
      <c r="F254" s="62">
        <f t="shared" si="65"/>
        <v>1E-3</v>
      </c>
      <c r="G254" s="4">
        <f>1378.76*F254</f>
        <v>1.37876</v>
      </c>
      <c r="H254" s="29">
        <f t="shared" si="67"/>
        <v>1</v>
      </c>
      <c r="I254" s="34">
        <f t="shared" si="66"/>
        <v>1.37876</v>
      </c>
      <c r="J254" s="18" t="s">
        <v>10</v>
      </c>
    </row>
    <row r="255" spans="1:10">
      <c r="A255" s="18">
        <f>IF(LEN(B255)=0," ",COUNTA($B$30:B255))</f>
        <v>146</v>
      </c>
      <c r="B255" s="18">
        <v>7</v>
      </c>
      <c r="C255" s="4" t="s">
        <v>41</v>
      </c>
      <c r="D255" s="342" t="s">
        <v>59</v>
      </c>
      <c r="E255" s="343"/>
      <c r="F255" s="62">
        <f t="shared" si="65"/>
        <v>1E-3</v>
      </c>
      <c r="G255" s="28">
        <f>32.57*F255</f>
        <v>3.2570000000000002E-2</v>
      </c>
      <c r="H255" s="29">
        <f t="shared" si="67"/>
        <v>1</v>
      </c>
      <c r="I255" s="34">
        <f t="shared" si="66"/>
        <v>3.2570000000000002E-2</v>
      </c>
      <c r="J255" s="18" t="s">
        <v>10</v>
      </c>
    </row>
    <row r="256" spans="1:10">
      <c r="A256" s="18">
        <f>IF(LEN(B256)=0," ",COUNTA($B$30:B256))</f>
        <v>147</v>
      </c>
      <c r="B256" s="18">
        <v>8</v>
      </c>
      <c r="C256" s="4" t="s">
        <v>42</v>
      </c>
      <c r="D256" s="342" t="s">
        <v>59</v>
      </c>
      <c r="E256" s="343"/>
      <c r="F256" s="62">
        <f t="shared" si="65"/>
        <v>1E-3</v>
      </c>
      <c r="G256" s="28">
        <f>822.34*F256</f>
        <v>0.82234000000000007</v>
      </c>
      <c r="H256" s="29">
        <f t="shared" si="67"/>
        <v>1</v>
      </c>
      <c r="I256" s="34">
        <f t="shared" si="66"/>
        <v>0.82234000000000007</v>
      </c>
      <c r="J256" s="18" t="s">
        <v>10</v>
      </c>
    </row>
    <row r="257" spans="1:10">
      <c r="A257" s="18">
        <f>IF(LEN(B257)=0," ",COUNTA($B$30:B257))</f>
        <v>148</v>
      </c>
      <c r="B257" s="18">
        <v>9</v>
      </c>
      <c r="C257" s="4" t="s">
        <v>61</v>
      </c>
      <c r="D257" s="342" t="s">
        <v>59</v>
      </c>
      <c r="E257" s="343"/>
      <c r="F257" s="62">
        <f t="shared" si="65"/>
        <v>1E-3</v>
      </c>
      <c r="G257" s="28">
        <f>150.87*F257</f>
        <v>0.15087</v>
      </c>
      <c r="H257" s="29">
        <f t="shared" si="67"/>
        <v>1</v>
      </c>
      <c r="I257" s="34">
        <f t="shared" si="66"/>
        <v>0.15087</v>
      </c>
      <c r="J257" s="18" t="s">
        <v>10</v>
      </c>
    </row>
    <row r="258" spans="1:10">
      <c r="A258" s="18">
        <f>IF(LEN(B258)=0," ",COUNTA($B$30:B258))</f>
        <v>149</v>
      </c>
      <c r="B258" s="18">
        <v>10</v>
      </c>
      <c r="C258" s="4" t="s">
        <v>43</v>
      </c>
      <c r="D258" s="18" t="s">
        <v>62</v>
      </c>
      <c r="E258" s="21" t="s">
        <v>64</v>
      </c>
      <c r="F258" s="62">
        <f t="shared" si="65"/>
        <v>0.01</v>
      </c>
      <c r="G258" s="28">
        <f ca="1">Eval(E258)*F258</f>
        <v>2.8150000000000005E-2</v>
      </c>
      <c r="H258" s="29">
        <f t="shared" si="67"/>
        <v>1</v>
      </c>
      <c r="I258" s="34">
        <f t="shared" ca="1" si="66"/>
        <v>2.8150000000000005E-2</v>
      </c>
      <c r="J258" s="18" t="s">
        <v>4</v>
      </c>
    </row>
    <row r="259" spans="1:10">
      <c r="A259" s="18">
        <f>IF(LEN(B259)=0," ",COUNTA($B$30:B259))</f>
        <v>150</v>
      </c>
      <c r="B259" s="18">
        <v>11</v>
      </c>
      <c r="C259" s="4" t="s">
        <v>44</v>
      </c>
      <c r="D259" s="18" t="s">
        <v>62</v>
      </c>
      <c r="E259" s="18" t="s">
        <v>63</v>
      </c>
      <c r="F259" s="62">
        <f t="shared" si="65"/>
        <v>0.01</v>
      </c>
      <c r="G259" s="28">
        <f ca="1">Eval(E259)*F259</f>
        <v>0.13975000000000001</v>
      </c>
      <c r="H259" s="29">
        <f t="shared" si="67"/>
        <v>1</v>
      </c>
      <c r="I259" s="34">
        <f t="shared" ca="1" si="66"/>
        <v>0.13975000000000001</v>
      </c>
      <c r="J259" s="18" t="s">
        <v>4</v>
      </c>
    </row>
    <row r="260" spans="1:10">
      <c r="A260" s="18">
        <f>IF(LEN(B260)=0," ",COUNTA($B$30:B260))</f>
        <v>151</v>
      </c>
      <c r="B260" s="18">
        <v>12</v>
      </c>
      <c r="C260" s="4" t="s">
        <v>12</v>
      </c>
      <c r="D260" s="18"/>
      <c r="E260" s="22"/>
      <c r="F260" s="62"/>
      <c r="G260" s="28"/>
      <c r="H260" s="29">
        <f t="shared" si="67"/>
        <v>1</v>
      </c>
      <c r="I260" s="34">
        <f ca="1">SUM(I261:I264)</f>
        <v>0.65898000000000001</v>
      </c>
      <c r="J260" s="18" t="s">
        <v>4</v>
      </c>
    </row>
    <row r="261" spans="1:10">
      <c r="A261" s="18"/>
      <c r="B261" s="18"/>
      <c r="C261" s="19" t="s">
        <v>45</v>
      </c>
      <c r="D261" s="18" t="s">
        <v>62</v>
      </c>
      <c r="E261" s="20" t="s">
        <v>66</v>
      </c>
      <c r="F261" s="62">
        <f t="shared" ref="F261:F267" si="68">VLOOKUP(J261,$R$2:$S$22,2,0)</f>
        <v>0.01</v>
      </c>
      <c r="G261" s="28">
        <f t="shared" ref="G261:G267" ca="1" si="69">Eval(E261)*F261</f>
        <v>0.33158000000000004</v>
      </c>
      <c r="H261" s="29">
        <f t="shared" si="67"/>
        <v>1</v>
      </c>
      <c r="I261" s="34">
        <f t="shared" ref="I261:I267" ca="1" si="70">G261*H261</f>
        <v>0.33158000000000004</v>
      </c>
      <c r="J261" s="18" t="s">
        <v>4</v>
      </c>
    </row>
    <row r="262" spans="1:10">
      <c r="A262" s="18"/>
      <c r="B262" s="18"/>
      <c r="C262" s="19" t="s">
        <v>46</v>
      </c>
      <c r="D262" s="18" t="s">
        <v>62</v>
      </c>
      <c r="E262" s="20" t="s">
        <v>65</v>
      </c>
      <c r="F262" s="62">
        <f t="shared" si="68"/>
        <v>0.01</v>
      </c>
      <c r="G262" s="28">
        <f t="shared" ca="1" si="69"/>
        <v>0.33039999999999997</v>
      </c>
      <c r="H262" s="29">
        <f t="shared" si="67"/>
        <v>1</v>
      </c>
      <c r="I262" s="34">
        <f t="shared" ca="1" si="70"/>
        <v>0.33039999999999997</v>
      </c>
      <c r="J262" s="18" t="s">
        <v>4</v>
      </c>
    </row>
    <row r="263" spans="1:10">
      <c r="A263" s="18"/>
      <c r="B263" s="18"/>
      <c r="C263" s="19" t="s">
        <v>47</v>
      </c>
      <c r="D263" s="18" t="s">
        <v>67</v>
      </c>
      <c r="E263" s="20" t="s">
        <v>68</v>
      </c>
      <c r="F263" s="62">
        <f t="shared" si="68"/>
        <v>0.01</v>
      </c>
      <c r="G263" s="28">
        <f t="shared" ca="1" si="69"/>
        <v>1.1399999999999999E-2</v>
      </c>
      <c r="H263" s="29">
        <f t="shared" si="67"/>
        <v>1</v>
      </c>
      <c r="I263" s="34">
        <f t="shared" ca="1" si="70"/>
        <v>1.1399999999999999E-2</v>
      </c>
      <c r="J263" s="18" t="s">
        <v>4</v>
      </c>
    </row>
    <row r="264" spans="1:10">
      <c r="A264" s="18"/>
      <c r="B264" s="18"/>
      <c r="C264" s="19" t="s">
        <v>127</v>
      </c>
      <c r="D264" s="18" t="s">
        <v>69</v>
      </c>
      <c r="E264" s="30" t="s">
        <v>136</v>
      </c>
      <c r="F264" s="62">
        <f t="shared" si="68"/>
        <v>0.01</v>
      </c>
      <c r="G264" s="28">
        <f t="shared" ca="1" si="69"/>
        <v>-1.44E-2</v>
      </c>
      <c r="H264" s="29">
        <f t="shared" si="67"/>
        <v>1</v>
      </c>
      <c r="I264" s="34">
        <f t="shared" ca="1" si="70"/>
        <v>-1.44E-2</v>
      </c>
      <c r="J264" s="18" t="s">
        <v>4</v>
      </c>
    </row>
    <row r="265" spans="1:10">
      <c r="A265" s="18">
        <f>IF(LEN(B265)=0," ",COUNTA($B$30:B265))</f>
        <v>152</v>
      </c>
      <c r="B265" s="18">
        <v>13</v>
      </c>
      <c r="C265" s="4" t="s">
        <v>48</v>
      </c>
      <c r="D265" s="18" t="s">
        <v>69</v>
      </c>
      <c r="E265" s="21" t="s">
        <v>70</v>
      </c>
      <c r="F265" s="62">
        <f t="shared" si="68"/>
        <v>0.01</v>
      </c>
      <c r="G265" s="28">
        <f t="shared" ca="1" si="69"/>
        <v>2.5400000000000002E-2</v>
      </c>
      <c r="H265" s="29">
        <f>$I$242*3</f>
        <v>3</v>
      </c>
      <c r="I265" s="34">
        <f t="shared" ca="1" si="70"/>
        <v>7.6200000000000004E-2</v>
      </c>
      <c r="J265" s="18" t="s">
        <v>4</v>
      </c>
    </row>
    <row r="266" spans="1:10">
      <c r="A266" s="18">
        <f>IF(LEN(B266)=0," ",COUNTA($B$30:B266))</f>
        <v>153</v>
      </c>
      <c r="B266" s="18">
        <v>14</v>
      </c>
      <c r="C266" s="4" t="s">
        <v>49</v>
      </c>
      <c r="D266" s="18" t="s">
        <v>72</v>
      </c>
      <c r="E266" s="18" t="s">
        <v>73</v>
      </c>
      <c r="F266" s="62">
        <f t="shared" si="68"/>
        <v>1</v>
      </c>
      <c r="G266" s="28">
        <f t="shared" ca="1" si="69"/>
        <v>6</v>
      </c>
      <c r="H266" s="29">
        <f>$I$242</f>
        <v>1</v>
      </c>
      <c r="I266" s="34">
        <f t="shared" ca="1" si="70"/>
        <v>6</v>
      </c>
      <c r="J266" s="18" t="s">
        <v>2</v>
      </c>
    </row>
    <row r="267" spans="1:10">
      <c r="A267" s="18">
        <f>IF(LEN(B267)=0," ",COUNTA($B$30:B267))</f>
        <v>154</v>
      </c>
      <c r="B267" s="18">
        <v>15</v>
      </c>
      <c r="C267" s="4" t="s">
        <v>124</v>
      </c>
      <c r="D267" s="18" t="s">
        <v>71</v>
      </c>
      <c r="E267" s="20" t="s">
        <v>74</v>
      </c>
      <c r="F267" s="62">
        <f t="shared" si="68"/>
        <v>1</v>
      </c>
      <c r="G267" s="28">
        <f t="shared" ca="1" si="69"/>
        <v>7.4</v>
      </c>
      <c r="H267" s="29">
        <f>$I$242</f>
        <v>1</v>
      </c>
      <c r="I267" s="34">
        <f t="shared" ca="1" si="70"/>
        <v>7.4</v>
      </c>
      <c r="J267" s="18" t="s">
        <v>2</v>
      </c>
    </row>
    <row r="268" spans="1:10">
      <c r="A268" s="58" t="s">
        <v>129</v>
      </c>
      <c r="B268" s="58"/>
      <c r="C268" s="7" t="s">
        <v>130</v>
      </c>
      <c r="D268" s="58"/>
      <c r="E268" s="58"/>
      <c r="F268" s="63"/>
      <c r="G268" s="7"/>
      <c r="H268" s="17"/>
      <c r="I268" s="34">
        <v>1</v>
      </c>
      <c r="J268" s="58" t="s">
        <v>24</v>
      </c>
    </row>
    <row r="269" spans="1:10">
      <c r="A269" s="18">
        <f>IF(LEN(B269)=0," ",COUNTA($B$30:B269))</f>
        <v>155</v>
      </c>
      <c r="B269" s="18">
        <v>1</v>
      </c>
      <c r="C269" s="4" t="s">
        <v>33</v>
      </c>
      <c r="D269" s="18"/>
      <c r="E269" s="58"/>
      <c r="F269" s="62">
        <f t="shared" ref="F269:F275" si="71">VLOOKUP(J269,$R$2:$S$22,2,0)</f>
        <v>1</v>
      </c>
      <c r="G269" s="4"/>
      <c r="H269" s="29">
        <f>$I$268</f>
        <v>1</v>
      </c>
      <c r="I269" s="34">
        <f ca="1">SUM(I270:I271)</f>
        <v>5.2342499999999994</v>
      </c>
      <c r="J269" s="18" t="s">
        <v>5</v>
      </c>
    </row>
    <row r="270" spans="1:10">
      <c r="A270" s="18"/>
      <c r="B270" s="18"/>
      <c r="C270" s="19" t="s">
        <v>342</v>
      </c>
      <c r="D270" s="18" t="s">
        <v>54</v>
      </c>
      <c r="E270" s="20" t="s">
        <v>34</v>
      </c>
      <c r="F270" s="62">
        <f t="shared" si="71"/>
        <v>1</v>
      </c>
      <c r="G270" s="23">
        <f ca="1">Eval(E270)*F270</f>
        <v>5.3689999999999998</v>
      </c>
      <c r="H270" s="29">
        <f>$I$268</f>
        <v>1</v>
      </c>
      <c r="I270" s="34">
        <f ca="1">G270*H270</f>
        <v>5.3689999999999998</v>
      </c>
      <c r="J270" s="18" t="s">
        <v>5</v>
      </c>
    </row>
    <row r="271" spans="1:10">
      <c r="A271" s="18"/>
      <c r="B271" s="18"/>
      <c r="C271" s="19" t="s">
        <v>35</v>
      </c>
      <c r="D271" s="18" t="s">
        <v>55</v>
      </c>
      <c r="E271" s="25" t="s">
        <v>51</v>
      </c>
      <c r="F271" s="62">
        <f t="shared" si="71"/>
        <v>1</v>
      </c>
      <c r="G271" s="23">
        <f ca="1">Eval(E271)*F271</f>
        <v>-0.13474999999999998</v>
      </c>
      <c r="H271" s="29">
        <f>$I$268</f>
        <v>1</v>
      </c>
      <c r="I271" s="34">
        <f ca="1">G271*H271</f>
        <v>-0.13474999999999998</v>
      </c>
      <c r="J271" s="18" t="s">
        <v>5</v>
      </c>
    </row>
    <row r="272" spans="1:10">
      <c r="A272" s="18">
        <f>IF(LEN(B272)=0," ",COUNTA($B$30:B272))</f>
        <v>156</v>
      </c>
      <c r="B272" s="18">
        <v>2</v>
      </c>
      <c r="C272" s="4" t="s">
        <v>36</v>
      </c>
      <c r="D272" s="18"/>
      <c r="E272" s="4"/>
      <c r="F272" s="62">
        <f t="shared" si="71"/>
        <v>1</v>
      </c>
      <c r="G272" s="23"/>
      <c r="H272" s="29">
        <f>$I$268</f>
        <v>1</v>
      </c>
      <c r="I272" s="34">
        <f ca="1">SUM(I273:I275)</f>
        <v>26.902625</v>
      </c>
      <c r="J272" s="18" t="s">
        <v>5</v>
      </c>
    </row>
    <row r="273" spans="1:10" s="5" customFormat="1">
      <c r="A273" s="18"/>
      <c r="B273" s="18"/>
      <c r="C273" s="19" t="s">
        <v>344</v>
      </c>
      <c r="D273" s="18" t="s">
        <v>54</v>
      </c>
      <c r="E273" s="24" t="s">
        <v>50</v>
      </c>
      <c r="F273" s="62">
        <f t="shared" si="71"/>
        <v>1</v>
      </c>
      <c r="G273" s="23">
        <f ca="1">Eval(E273)*F273</f>
        <v>25.664999999999999</v>
      </c>
      <c r="H273" s="29">
        <f>$I$268</f>
        <v>1</v>
      </c>
      <c r="I273" s="34">
        <f ca="1">G273*H273</f>
        <v>25.664999999999999</v>
      </c>
      <c r="J273" s="18" t="s">
        <v>5</v>
      </c>
    </row>
    <row r="274" spans="1:10">
      <c r="A274" s="18"/>
      <c r="B274" s="18"/>
      <c r="C274" s="19" t="s">
        <v>131</v>
      </c>
      <c r="D274" s="18" t="s">
        <v>54</v>
      </c>
      <c r="E274" s="24" t="s">
        <v>132</v>
      </c>
      <c r="F274" s="62">
        <f t="shared" si="71"/>
        <v>1</v>
      </c>
      <c r="G274" s="23">
        <f ca="1">Eval(E274)*F274</f>
        <v>0.65249999999999997</v>
      </c>
      <c r="H274" s="29">
        <f>$I$268*2</f>
        <v>2</v>
      </c>
      <c r="I274" s="34">
        <f ca="1">G274*H274</f>
        <v>1.3049999999999999</v>
      </c>
      <c r="J274" s="18" t="s">
        <v>5</v>
      </c>
    </row>
    <row r="275" spans="1:10">
      <c r="A275" s="18"/>
      <c r="B275" s="18"/>
      <c r="C275" s="19" t="s">
        <v>35</v>
      </c>
      <c r="D275" s="18" t="s">
        <v>55</v>
      </c>
      <c r="E275" s="26" t="s">
        <v>52</v>
      </c>
      <c r="F275" s="62">
        <f t="shared" si="71"/>
        <v>1</v>
      </c>
      <c r="G275" s="23">
        <f ca="1">Eval(E275)*F275</f>
        <v>-6.737499999999999E-2</v>
      </c>
      <c r="H275" s="29">
        <f>$I$268</f>
        <v>1</v>
      </c>
      <c r="I275" s="34">
        <f ca="1">G275*H275</f>
        <v>-6.737499999999999E-2</v>
      </c>
      <c r="J275" s="18" t="s">
        <v>5</v>
      </c>
    </row>
    <row r="276" spans="1:10">
      <c r="A276" s="18">
        <f>IF(LEN(B276)=0," ",COUNTA($B$30:B276))</f>
        <v>157</v>
      </c>
      <c r="B276" s="1">
        <v>3</v>
      </c>
      <c r="C276" s="19" t="s">
        <v>37</v>
      </c>
      <c r="D276" s="18"/>
      <c r="E276" s="26"/>
      <c r="F276" s="62"/>
      <c r="G276" s="23"/>
      <c r="H276" s="29">
        <f>$I$268</f>
        <v>1</v>
      </c>
      <c r="I276" s="34">
        <f ca="1">SUM(I277:I278)</f>
        <v>15.648</v>
      </c>
      <c r="J276" s="18"/>
    </row>
    <row r="277" spans="1:10">
      <c r="A277" s="18"/>
      <c r="C277" s="19" t="s">
        <v>126</v>
      </c>
      <c r="D277" s="18" t="s">
        <v>56</v>
      </c>
      <c r="E277" s="27" t="s">
        <v>133</v>
      </c>
      <c r="F277" s="62">
        <f t="shared" ref="F277:F285" si="72">VLOOKUP(J277,$R$2:$S$22,2,0)</f>
        <v>1</v>
      </c>
      <c r="G277" s="23">
        <f ca="1">Eval(E277)*F277</f>
        <v>16.52</v>
      </c>
      <c r="H277" s="29">
        <f>$I$268</f>
        <v>1</v>
      </c>
      <c r="I277" s="34">
        <f t="shared" ref="I277:I285" ca="1" si="73">G277*H277</f>
        <v>16.52</v>
      </c>
      <c r="J277" s="18" t="s">
        <v>5</v>
      </c>
    </row>
    <row r="278" spans="1:10">
      <c r="A278" s="18"/>
      <c r="B278" s="18"/>
      <c r="C278" s="19" t="s">
        <v>127</v>
      </c>
      <c r="D278" s="18" t="s">
        <v>56</v>
      </c>
      <c r="E278" s="27" t="s">
        <v>135</v>
      </c>
      <c r="F278" s="62">
        <f t="shared" si="72"/>
        <v>1</v>
      </c>
      <c r="G278" s="23">
        <f ca="1">Eval(E278)*F278</f>
        <v>-0.43600000000000005</v>
      </c>
      <c r="H278" s="29">
        <f>$I$268*2</f>
        <v>2</v>
      </c>
      <c r="I278" s="34">
        <f t="shared" ca="1" si="73"/>
        <v>-0.87200000000000011</v>
      </c>
      <c r="J278" s="18" t="s">
        <v>5</v>
      </c>
    </row>
    <row r="279" spans="1:10">
      <c r="A279" s="18">
        <f>IF(LEN(B279)=0," ",COUNTA($B$30:B279))</f>
        <v>158</v>
      </c>
      <c r="B279" s="18">
        <v>4</v>
      </c>
      <c r="C279" s="4" t="s">
        <v>38</v>
      </c>
      <c r="D279" s="18" t="s">
        <v>57</v>
      </c>
      <c r="E279" s="21" t="s">
        <v>58</v>
      </c>
      <c r="F279" s="62">
        <f t="shared" si="72"/>
        <v>1</v>
      </c>
      <c r="G279" s="23">
        <f ca="1">Eval(E279)*F279</f>
        <v>0.38100000000000001</v>
      </c>
      <c r="H279" s="29">
        <f>$I$268*3</f>
        <v>3</v>
      </c>
      <c r="I279" s="34">
        <f t="shared" ca="1" si="73"/>
        <v>1.143</v>
      </c>
      <c r="J279" s="18" t="s">
        <v>5</v>
      </c>
    </row>
    <row r="280" spans="1:10">
      <c r="A280" s="18">
        <f>IF(LEN(B280)=0," ",COUNTA($B$30:B280))</f>
        <v>159</v>
      </c>
      <c r="B280" s="18">
        <v>5</v>
      </c>
      <c r="C280" s="4" t="s">
        <v>39</v>
      </c>
      <c r="D280" s="342" t="s">
        <v>59</v>
      </c>
      <c r="E280" s="343"/>
      <c r="F280" s="62">
        <f t="shared" si="72"/>
        <v>1E-3</v>
      </c>
      <c r="G280" s="4">
        <f>40.18*F280</f>
        <v>4.018E-2</v>
      </c>
      <c r="H280" s="29">
        <f t="shared" ref="H280:H285" si="74">$I$268</f>
        <v>1</v>
      </c>
      <c r="I280" s="34">
        <f t="shared" si="73"/>
        <v>4.018E-2</v>
      </c>
      <c r="J280" s="18" t="s">
        <v>10</v>
      </c>
    </row>
    <row r="281" spans="1:10" s="98" customFormat="1">
      <c r="A281" s="92">
        <f>IF(LEN(B281)=0," ",COUNTA($B$30:B281))</f>
        <v>160</v>
      </c>
      <c r="B281" s="92">
        <v>6</v>
      </c>
      <c r="C281" s="74" t="s">
        <v>40</v>
      </c>
      <c r="D281" s="344" t="s">
        <v>59</v>
      </c>
      <c r="E281" s="345"/>
      <c r="F281" s="95">
        <f t="shared" si="72"/>
        <v>1E-3</v>
      </c>
      <c r="G281" s="74">
        <f>1507.94*F281</f>
        <v>1.5079400000000001</v>
      </c>
      <c r="H281" s="97">
        <f t="shared" si="74"/>
        <v>1</v>
      </c>
      <c r="I281" s="94">
        <f t="shared" si="73"/>
        <v>1.5079400000000001</v>
      </c>
      <c r="J281" s="92" t="s">
        <v>10</v>
      </c>
    </row>
    <row r="282" spans="1:10">
      <c r="A282" s="18">
        <f>IF(LEN(B282)=0," ",COUNTA($B$30:B282))</f>
        <v>161</v>
      </c>
      <c r="B282" s="18">
        <v>7</v>
      </c>
      <c r="C282" s="4" t="s">
        <v>41</v>
      </c>
      <c r="D282" s="342" t="s">
        <v>59</v>
      </c>
      <c r="E282" s="343"/>
      <c r="F282" s="62">
        <f t="shared" si="72"/>
        <v>1E-3</v>
      </c>
      <c r="G282" s="28">
        <f>32.57*F282</f>
        <v>3.2570000000000002E-2</v>
      </c>
      <c r="H282" s="29">
        <f t="shared" si="74"/>
        <v>1</v>
      </c>
      <c r="I282" s="34">
        <f t="shared" si="73"/>
        <v>3.2570000000000002E-2</v>
      </c>
      <c r="J282" s="18" t="s">
        <v>10</v>
      </c>
    </row>
    <row r="283" spans="1:10" s="98" customFormat="1">
      <c r="A283" s="92">
        <f>IF(LEN(B283)=0," ",COUNTA($B$30:B283))</f>
        <v>162</v>
      </c>
      <c r="B283" s="92">
        <v>8</v>
      </c>
      <c r="C283" s="74" t="s">
        <v>42</v>
      </c>
      <c r="D283" s="344" t="s">
        <v>59</v>
      </c>
      <c r="E283" s="345"/>
      <c r="F283" s="95">
        <f t="shared" si="72"/>
        <v>1E-3</v>
      </c>
      <c r="G283" s="96">
        <f>855.98*F283</f>
        <v>0.85598000000000007</v>
      </c>
      <c r="H283" s="97">
        <f t="shared" si="74"/>
        <v>1</v>
      </c>
      <c r="I283" s="94">
        <f t="shared" si="73"/>
        <v>0.85598000000000007</v>
      </c>
      <c r="J283" s="92" t="s">
        <v>10</v>
      </c>
    </row>
    <row r="284" spans="1:10">
      <c r="A284" s="18">
        <f>IF(LEN(B284)=0," ",COUNTA($B$30:B284))</f>
        <v>163</v>
      </c>
      <c r="B284" s="18">
        <v>9</v>
      </c>
      <c r="C284" s="4" t="s">
        <v>61</v>
      </c>
      <c r="D284" s="342" t="s">
        <v>59</v>
      </c>
      <c r="E284" s="343"/>
      <c r="F284" s="62">
        <f t="shared" si="72"/>
        <v>1E-3</v>
      </c>
      <c r="G284" s="28">
        <f>150.87*F284</f>
        <v>0.15087</v>
      </c>
      <c r="H284" s="29">
        <f t="shared" si="74"/>
        <v>1</v>
      </c>
      <c r="I284" s="34">
        <f t="shared" si="73"/>
        <v>0.15087</v>
      </c>
      <c r="J284" s="18" t="s">
        <v>10</v>
      </c>
    </row>
    <row r="285" spans="1:10">
      <c r="A285" s="18">
        <f>IF(LEN(B285)=0," ",COUNTA($B$30:B285))</f>
        <v>164</v>
      </c>
      <c r="B285" s="18">
        <v>10</v>
      </c>
      <c r="C285" s="4" t="s">
        <v>43</v>
      </c>
      <c r="D285" s="18" t="s">
        <v>62</v>
      </c>
      <c r="E285" s="21" t="s">
        <v>64</v>
      </c>
      <c r="F285" s="62">
        <f t="shared" si="72"/>
        <v>0.01</v>
      </c>
      <c r="G285" s="28">
        <f ca="1">Eval(E285)*F285</f>
        <v>2.8150000000000005E-2</v>
      </c>
      <c r="H285" s="29">
        <f t="shared" si="74"/>
        <v>1</v>
      </c>
      <c r="I285" s="34">
        <f t="shared" ca="1" si="73"/>
        <v>2.8150000000000005E-2</v>
      </c>
      <c r="J285" s="18" t="s">
        <v>4</v>
      </c>
    </row>
    <row r="286" spans="1:10">
      <c r="A286" s="18">
        <f>IF(LEN(B286)=0," ",COUNTA($B$30:B286))</f>
        <v>165</v>
      </c>
      <c r="B286" s="18">
        <v>11</v>
      </c>
      <c r="C286" s="4" t="s">
        <v>44</v>
      </c>
      <c r="D286" s="18"/>
      <c r="E286" s="21"/>
      <c r="F286" s="62"/>
      <c r="G286" s="28"/>
      <c r="H286" s="29"/>
      <c r="I286" s="34">
        <f ca="1">SUM(I287:I288)</f>
        <v>0.23275000000000001</v>
      </c>
      <c r="J286" s="18" t="s">
        <v>4</v>
      </c>
    </row>
    <row r="287" spans="1:10">
      <c r="A287" s="18"/>
      <c r="B287" s="18"/>
      <c r="C287" s="19" t="s">
        <v>44</v>
      </c>
      <c r="D287" s="18" t="s">
        <v>62</v>
      </c>
      <c r="E287" s="18" t="s">
        <v>63</v>
      </c>
      <c r="F287" s="62">
        <f>VLOOKUP(J287,$R$2:$S$22,2,0)</f>
        <v>0.01</v>
      </c>
      <c r="G287" s="28">
        <f ca="1">Eval(E287)*F287</f>
        <v>0.13975000000000001</v>
      </c>
      <c r="H287" s="29">
        <f>$I$268</f>
        <v>1</v>
      </c>
      <c r="I287" s="34">
        <f ca="1">G287*H287</f>
        <v>0.13975000000000001</v>
      </c>
      <c r="J287" s="18" t="s">
        <v>4</v>
      </c>
    </row>
    <row r="288" spans="1:10">
      <c r="A288" s="18"/>
      <c r="B288" s="18"/>
      <c r="C288" s="19" t="s">
        <v>134</v>
      </c>
      <c r="D288" s="18" t="s">
        <v>62</v>
      </c>
      <c r="E288" s="18" t="s">
        <v>138</v>
      </c>
      <c r="F288" s="62">
        <f>VLOOKUP(J288,$R$2:$S$22,2,0)</f>
        <v>0.01</v>
      </c>
      <c r="G288" s="28">
        <f ca="1">Eval(E288)*F288</f>
        <v>4.6499999999999993E-2</v>
      </c>
      <c r="H288" s="29">
        <f>$I$268*2</f>
        <v>2</v>
      </c>
      <c r="I288" s="34">
        <f ca="1">G288*H288</f>
        <v>9.2999999999999985E-2</v>
      </c>
      <c r="J288" s="18" t="s">
        <v>4</v>
      </c>
    </row>
    <row r="289" spans="1:10">
      <c r="A289" s="18">
        <f>IF(LEN(B289)=0," ",COUNTA($B$30:B289))</f>
        <v>166</v>
      </c>
      <c r="B289" s="18">
        <v>12</v>
      </c>
      <c r="C289" s="4" t="s">
        <v>12</v>
      </c>
      <c r="D289" s="18"/>
      <c r="E289" s="22"/>
      <c r="F289" s="62"/>
      <c r="G289" s="28"/>
      <c r="H289" s="29">
        <f>$I$268</f>
        <v>1</v>
      </c>
      <c r="I289" s="34">
        <f ca="1">SUM(I290:I293)</f>
        <v>0.76336000000000004</v>
      </c>
      <c r="J289" s="18" t="s">
        <v>4</v>
      </c>
    </row>
    <row r="290" spans="1:10">
      <c r="A290" s="18"/>
      <c r="B290" s="18"/>
      <c r="C290" s="19" t="s">
        <v>45</v>
      </c>
      <c r="D290" s="18" t="s">
        <v>62</v>
      </c>
      <c r="E290" s="20" t="s">
        <v>141</v>
      </c>
      <c r="F290" s="62">
        <f t="shared" ref="F290:F296" si="75">VLOOKUP(J290,$R$2:$S$22,2,0)</f>
        <v>0.01</v>
      </c>
      <c r="G290" s="28">
        <f t="shared" ref="G290:G296" ca="1" si="76">Eval(E290)*F290</f>
        <v>0.40356000000000003</v>
      </c>
      <c r="H290" s="29">
        <f>$I$268</f>
        <v>1</v>
      </c>
      <c r="I290" s="34">
        <f t="shared" ref="I290:I296" ca="1" si="77">G290*H290</f>
        <v>0.40356000000000003</v>
      </c>
      <c r="J290" s="18" t="s">
        <v>4</v>
      </c>
    </row>
    <row r="291" spans="1:10">
      <c r="A291" s="18"/>
      <c r="B291" s="18"/>
      <c r="C291" s="19" t="s">
        <v>46</v>
      </c>
      <c r="D291" s="18" t="s">
        <v>62</v>
      </c>
      <c r="E291" s="20" t="s">
        <v>140</v>
      </c>
      <c r="F291" s="62">
        <f t="shared" si="75"/>
        <v>0.01</v>
      </c>
      <c r="G291" s="28">
        <f t="shared" ca="1" si="76"/>
        <v>0.38939999999999997</v>
      </c>
      <c r="H291" s="29">
        <f>$I$268</f>
        <v>1</v>
      </c>
      <c r="I291" s="34">
        <f t="shared" ca="1" si="77"/>
        <v>0.38939999999999997</v>
      </c>
      <c r="J291" s="18" t="s">
        <v>4</v>
      </c>
    </row>
    <row r="292" spans="1:10">
      <c r="A292" s="18"/>
      <c r="B292" s="18"/>
      <c r="C292" s="19" t="s">
        <v>47</v>
      </c>
      <c r="D292" s="18" t="s">
        <v>67</v>
      </c>
      <c r="E292" s="20" t="s">
        <v>142</v>
      </c>
      <c r="F292" s="62">
        <f t="shared" si="75"/>
        <v>0.01</v>
      </c>
      <c r="G292" s="28">
        <f t="shared" ca="1" si="76"/>
        <v>1.3999999999999999E-2</v>
      </c>
      <c r="H292" s="29">
        <f>$I$268</f>
        <v>1</v>
      </c>
      <c r="I292" s="34">
        <f t="shared" ca="1" si="77"/>
        <v>1.3999999999999999E-2</v>
      </c>
      <c r="J292" s="18" t="s">
        <v>4</v>
      </c>
    </row>
    <row r="293" spans="1:10">
      <c r="A293" s="18"/>
      <c r="B293" s="18"/>
      <c r="C293" s="19" t="s">
        <v>127</v>
      </c>
      <c r="D293" s="18" t="s">
        <v>69</v>
      </c>
      <c r="E293" s="30" t="s">
        <v>139</v>
      </c>
      <c r="F293" s="62">
        <f t="shared" si="75"/>
        <v>0.01</v>
      </c>
      <c r="G293" s="28">
        <f t="shared" ca="1" si="76"/>
        <v>-2.1800000000000003E-2</v>
      </c>
      <c r="H293" s="29">
        <f>$I$268*2</f>
        <v>2</v>
      </c>
      <c r="I293" s="34">
        <f t="shared" ca="1" si="77"/>
        <v>-4.3600000000000007E-2</v>
      </c>
      <c r="J293" s="18" t="s">
        <v>4</v>
      </c>
    </row>
    <row r="294" spans="1:10">
      <c r="A294" s="18">
        <f>IF(LEN(B294)=0," ",COUNTA($B$30:B294))</f>
        <v>167</v>
      </c>
      <c r="B294" s="18">
        <v>13</v>
      </c>
      <c r="C294" s="4" t="s">
        <v>48</v>
      </c>
      <c r="D294" s="18" t="s">
        <v>69</v>
      </c>
      <c r="E294" s="21" t="s">
        <v>70</v>
      </c>
      <c r="F294" s="62">
        <f t="shared" si="75"/>
        <v>0.01</v>
      </c>
      <c r="G294" s="28">
        <f t="shared" ca="1" si="76"/>
        <v>2.5400000000000002E-2</v>
      </c>
      <c r="H294" s="29">
        <f>$I$268*3</f>
        <v>3</v>
      </c>
      <c r="I294" s="34">
        <f t="shared" ca="1" si="77"/>
        <v>7.6200000000000004E-2</v>
      </c>
      <c r="J294" s="18" t="s">
        <v>4</v>
      </c>
    </row>
    <row r="295" spans="1:10">
      <c r="A295" s="18">
        <f>IF(LEN(B295)=0," ",COUNTA($B$30:B295))</f>
        <v>168</v>
      </c>
      <c r="B295" s="18">
        <v>14</v>
      </c>
      <c r="C295" s="4" t="s">
        <v>49</v>
      </c>
      <c r="D295" s="18" t="s">
        <v>72</v>
      </c>
      <c r="E295" s="18" t="s">
        <v>73</v>
      </c>
      <c r="F295" s="62">
        <f t="shared" si="75"/>
        <v>1</v>
      </c>
      <c r="G295" s="28">
        <f t="shared" ca="1" si="76"/>
        <v>6</v>
      </c>
      <c r="H295" s="29">
        <f>$I$268</f>
        <v>1</v>
      </c>
      <c r="I295" s="34">
        <f t="shared" ca="1" si="77"/>
        <v>6</v>
      </c>
      <c r="J295" s="18" t="s">
        <v>2</v>
      </c>
    </row>
    <row r="296" spans="1:10">
      <c r="A296" s="18">
        <f>IF(LEN(B296)=0," ",COUNTA($B$30:B296))</f>
        <v>169</v>
      </c>
      <c r="B296" s="18">
        <v>15</v>
      </c>
      <c r="C296" s="4" t="s">
        <v>124</v>
      </c>
      <c r="D296" s="18" t="s">
        <v>71</v>
      </c>
      <c r="E296" s="20" t="s">
        <v>74</v>
      </c>
      <c r="F296" s="62">
        <f t="shared" si="75"/>
        <v>1</v>
      </c>
      <c r="G296" s="28">
        <f t="shared" ca="1" si="76"/>
        <v>7.4</v>
      </c>
      <c r="H296" s="29">
        <f>$I$268</f>
        <v>1</v>
      </c>
      <c r="I296" s="34">
        <f t="shared" ca="1" si="77"/>
        <v>7.4</v>
      </c>
      <c r="J296" s="18" t="s">
        <v>2</v>
      </c>
    </row>
    <row r="297" spans="1:10">
      <c r="A297" s="58" t="s">
        <v>143</v>
      </c>
      <c r="B297" s="58"/>
      <c r="C297" s="7" t="s">
        <v>144</v>
      </c>
      <c r="D297" s="58"/>
      <c r="E297" s="58"/>
      <c r="F297" s="63"/>
      <c r="G297" s="7"/>
      <c r="H297" s="17"/>
      <c r="I297" s="34">
        <v>1</v>
      </c>
      <c r="J297" s="58" t="s">
        <v>24</v>
      </c>
    </row>
    <row r="298" spans="1:10">
      <c r="A298" s="18">
        <f>IF(LEN(B298)=0," ",COUNTA($B$30:B298))</f>
        <v>170</v>
      </c>
      <c r="B298" s="18">
        <v>1</v>
      </c>
      <c r="C298" s="4" t="s">
        <v>33</v>
      </c>
      <c r="D298" s="18"/>
      <c r="E298" s="58"/>
      <c r="F298" s="62">
        <f t="shared" ref="F298:F303" si="78">VLOOKUP(J298,$R$2:$S$22,2,0)</f>
        <v>1</v>
      </c>
      <c r="G298" s="4"/>
      <c r="H298" s="29">
        <f t="shared" ref="H298:H306" si="79">$I$242</f>
        <v>1</v>
      </c>
      <c r="I298" s="34">
        <f ca="1">SUM(I299:I300)</f>
        <v>5.2342499999999994</v>
      </c>
      <c r="J298" s="18" t="s">
        <v>5</v>
      </c>
    </row>
    <row r="299" spans="1:10">
      <c r="A299" s="18"/>
      <c r="B299" s="18"/>
      <c r="C299" s="19" t="s">
        <v>342</v>
      </c>
      <c r="D299" s="18" t="s">
        <v>54</v>
      </c>
      <c r="E299" s="20" t="s">
        <v>34</v>
      </c>
      <c r="F299" s="62">
        <f t="shared" si="78"/>
        <v>1</v>
      </c>
      <c r="G299" s="23">
        <f ca="1">Eval(E299)*F299</f>
        <v>5.3689999999999998</v>
      </c>
      <c r="H299" s="29">
        <f t="shared" si="79"/>
        <v>1</v>
      </c>
      <c r="I299" s="34">
        <f ca="1">G299* H299</f>
        <v>5.3689999999999998</v>
      </c>
      <c r="J299" s="18" t="s">
        <v>5</v>
      </c>
    </row>
    <row r="300" spans="1:10">
      <c r="A300" s="18"/>
      <c r="B300" s="18"/>
      <c r="C300" s="19" t="s">
        <v>35</v>
      </c>
      <c r="D300" s="18" t="s">
        <v>55</v>
      </c>
      <c r="E300" s="25" t="s">
        <v>51</v>
      </c>
      <c r="F300" s="62">
        <f t="shared" si="78"/>
        <v>1</v>
      </c>
      <c r="G300" s="23">
        <f ca="1">Eval(E300)*F300</f>
        <v>-0.13474999999999998</v>
      </c>
      <c r="H300" s="29">
        <f t="shared" si="79"/>
        <v>1</v>
      </c>
      <c r="I300" s="34">
        <f ca="1">G300* H300</f>
        <v>-0.13474999999999998</v>
      </c>
      <c r="J300" s="18" t="s">
        <v>5</v>
      </c>
    </row>
    <row r="301" spans="1:10">
      <c r="A301" s="18">
        <f>IF(LEN(B301)=0," ",COUNTA($B$30:B301))</f>
        <v>171</v>
      </c>
      <c r="B301" s="18">
        <v>2</v>
      </c>
      <c r="C301" s="4" t="s">
        <v>36</v>
      </c>
      <c r="D301" s="18"/>
      <c r="E301" s="4"/>
      <c r="F301" s="62">
        <f t="shared" si="78"/>
        <v>1</v>
      </c>
      <c r="G301" s="23"/>
      <c r="H301" s="29">
        <f t="shared" si="79"/>
        <v>1</v>
      </c>
      <c r="I301" s="34">
        <f ca="1">SUM(I302:I303)</f>
        <v>25.597625000000001</v>
      </c>
      <c r="J301" s="18" t="s">
        <v>5</v>
      </c>
    </row>
    <row r="302" spans="1:10" s="5" customFormat="1">
      <c r="A302" s="18"/>
      <c r="B302" s="18"/>
      <c r="C302" s="19" t="s">
        <v>344</v>
      </c>
      <c r="D302" s="18" t="s">
        <v>54</v>
      </c>
      <c r="E302" s="24" t="s">
        <v>50</v>
      </c>
      <c r="F302" s="62">
        <f t="shared" si="78"/>
        <v>1</v>
      </c>
      <c r="G302" s="23">
        <f ca="1">Eval(E302)*F302</f>
        <v>25.664999999999999</v>
      </c>
      <c r="H302" s="29">
        <f t="shared" si="79"/>
        <v>1</v>
      </c>
      <c r="I302" s="34">
        <f ca="1">G302*H302</f>
        <v>25.664999999999999</v>
      </c>
      <c r="J302" s="18" t="s">
        <v>5</v>
      </c>
    </row>
    <row r="303" spans="1:10">
      <c r="A303" s="18"/>
      <c r="B303" s="18"/>
      <c r="C303" s="19" t="s">
        <v>35</v>
      </c>
      <c r="D303" s="18" t="s">
        <v>55</v>
      </c>
      <c r="E303" s="26" t="s">
        <v>52</v>
      </c>
      <c r="F303" s="62">
        <f t="shared" si="78"/>
        <v>1</v>
      </c>
      <c r="G303" s="23">
        <f ca="1">Eval(E303)*F303</f>
        <v>-6.737499999999999E-2</v>
      </c>
      <c r="H303" s="29">
        <f t="shared" si="79"/>
        <v>1</v>
      </c>
      <c r="I303" s="34">
        <f ca="1">G303*H303</f>
        <v>-6.737499999999999E-2</v>
      </c>
      <c r="J303" s="18" t="s">
        <v>5</v>
      </c>
    </row>
    <row r="304" spans="1:10">
      <c r="A304" s="18">
        <f>IF(LEN(B304)=0," ",COUNTA($B$30:B304))</f>
        <v>172</v>
      </c>
      <c r="B304" s="18">
        <v>3</v>
      </c>
      <c r="C304" s="19" t="s">
        <v>37</v>
      </c>
      <c r="D304" s="18"/>
      <c r="E304" s="26"/>
      <c r="F304" s="62"/>
      <c r="G304" s="23"/>
      <c r="H304" s="29">
        <f t="shared" si="79"/>
        <v>1</v>
      </c>
      <c r="I304" s="34">
        <f ca="1">SUM(I305:I306)</f>
        <v>13.164</v>
      </c>
      <c r="J304" s="18"/>
    </row>
    <row r="305" spans="1:10">
      <c r="A305" s="18"/>
      <c r="C305" s="19" t="s">
        <v>126</v>
      </c>
      <c r="D305" s="18" t="s">
        <v>56</v>
      </c>
      <c r="E305" s="27" t="s">
        <v>53</v>
      </c>
      <c r="F305" s="62">
        <f t="shared" ref="F305:F314" si="80">VLOOKUP(J305,$R$2:$S$22,2,0)</f>
        <v>1</v>
      </c>
      <c r="G305" s="23">
        <f ca="1">Eval(E305)*F305</f>
        <v>13.452</v>
      </c>
      <c r="H305" s="29">
        <f t="shared" si="79"/>
        <v>1</v>
      </c>
      <c r="I305" s="34">
        <f t="shared" ref="I305:I314" ca="1" si="81">G305*H305</f>
        <v>13.452</v>
      </c>
      <c r="J305" s="18" t="s">
        <v>5</v>
      </c>
    </row>
    <row r="306" spans="1:10">
      <c r="A306" s="18"/>
      <c r="C306" s="19" t="s">
        <v>127</v>
      </c>
      <c r="D306" s="18" t="s">
        <v>56</v>
      </c>
      <c r="E306" s="27" t="s">
        <v>137</v>
      </c>
      <c r="F306" s="62">
        <f t="shared" si="80"/>
        <v>1</v>
      </c>
      <c r="G306" s="23">
        <f ca="1">Eval(E306)*F306</f>
        <v>-0.28799999999999998</v>
      </c>
      <c r="H306" s="29">
        <f t="shared" si="79"/>
        <v>1</v>
      </c>
      <c r="I306" s="34">
        <f t="shared" ca="1" si="81"/>
        <v>-0.28799999999999998</v>
      </c>
      <c r="J306" s="18" t="s">
        <v>5</v>
      </c>
    </row>
    <row r="307" spans="1:10">
      <c r="A307" s="18">
        <f>IF(LEN(B307)=0," ",COUNTA($B$30:B307))</f>
        <v>173</v>
      </c>
      <c r="B307" s="18">
        <v>4</v>
      </c>
      <c r="C307" s="4" t="s">
        <v>38</v>
      </c>
      <c r="D307" s="18" t="s">
        <v>57</v>
      </c>
      <c r="E307" s="21" t="s">
        <v>58</v>
      </c>
      <c r="F307" s="62">
        <f t="shared" si="80"/>
        <v>1</v>
      </c>
      <c r="G307" s="23">
        <f ca="1">Eval(E307)*F307</f>
        <v>0.38100000000000001</v>
      </c>
      <c r="H307" s="29">
        <f>$I$242*3</f>
        <v>3</v>
      </c>
      <c r="I307" s="34">
        <f t="shared" ca="1" si="81"/>
        <v>1.143</v>
      </c>
      <c r="J307" s="18" t="s">
        <v>5</v>
      </c>
    </row>
    <row r="308" spans="1:10">
      <c r="A308" s="18">
        <f>IF(LEN(B308)=0," ",COUNTA($B$30:B308))</f>
        <v>174</v>
      </c>
      <c r="B308" s="18">
        <v>5</v>
      </c>
      <c r="C308" s="4" t="s">
        <v>39</v>
      </c>
      <c r="D308" s="342" t="s">
        <v>59</v>
      </c>
      <c r="E308" s="343"/>
      <c r="F308" s="62">
        <f t="shared" si="80"/>
        <v>1E-3</v>
      </c>
      <c r="G308" s="4">
        <f>40.18*F308</f>
        <v>4.018E-2</v>
      </c>
      <c r="H308" s="29">
        <f t="shared" ref="H308:H319" si="82">$I$242</f>
        <v>1</v>
      </c>
      <c r="I308" s="34">
        <f t="shared" si="81"/>
        <v>4.018E-2</v>
      </c>
      <c r="J308" s="18" t="s">
        <v>10</v>
      </c>
    </row>
    <row r="309" spans="1:10">
      <c r="A309" s="18">
        <f>IF(LEN(B309)=0," ",COUNTA($B$30:B309))</f>
        <v>175</v>
      </c>
      <c r="B309" s="18">
        <v>6</v>
      </c>
      <c r="C309" s="4" t="s">
        <v>40</v>
      </c>
      <c r="D309" s="342" t="s">
        <v>59</v>
      </c>
      <c r="E309" s="343"/>
      <c r="F309" s="62">
        <f t="shared" si="80"/>
        <v>1E-3</v>
      </c>
      <c r="G309" s="4">
        <f>1378.76*F309</f>
        <v>1.37876</v>
      </c>
      <c r="H309" s="29">
        <f t="shared" si="82"/>
        <v>1</v>
      </c>
      <c r="I309" s="34">
        <f t="shared" si="81"/>
        <v>1.37876</v>
      </c>
      <c r="J309" s="18" t="s">
        <v>10</v>
      </c>
    </row>
    <row r="310" spans="1:10">
      <c r="A310" s="18">
        <f>IF(LEN(B310)=0," ",COUNTA($B$30:B310))</f>
        <v>176</v>
      </c>
      <c r="B310" s="18">
        <v>7</v>
      </c>
      <c r="C310" s="4" t="s">
        <v>41</v>
      </c>
      <c r="D310" s="342" t="s">
        <v>59</v>
      </c>
      <c r="E310" s="343"/>
      <c r="F310" s="62">
        <f t="shared" si="80"/>
        <v>1E-3</v>
      </c>
      <c r="G310" s="28">
        <f>32.57*F310</f>
        <v>3.2570000000000002E-2</v>
      </c>
      <c r="H310" s="29">
        <f t="shared" si="82"/>
        <v>1</v>
      </c>
      <c r="I310" s="34">
        <f t="shared" si="81"/>
        <v>3.2570000000000002E-2</v>
      </c>
      <c r="J310" s="18" t="s">
        <v>10</v>
      </c>
    </row>
    <row r="311" spans="1:10">
      <c r="A311" s="18">
        <f>IF(LEN(B311)=0," ",COUNTA($B$30:B311))</f>
        <v>177</v>
      </c>
      <c r="B311" s="18">
        <v>8</v>
      </c>
      <c r="C311" s="4" t="s">
        <v>42</v>
      </c>
      <c r="D311" s="342" t="s">
        <v>59</v>
      </c>
      <c r="E311" s="343"/>
      <c r="F311" s="62">
        <f t="shared" si="80"/>
        <v>1E-3</v>
      </c>
      <c r="G311" s="28">
        <f>823.4*F311</f>
        <v>0.82340000000000002</v>
      </c>
      <c r="H311" s="29">
        <f t="shared" si="82"/>
        <v>1</v>
      </c>
      <c r="I311" s="34">
        <f t="shared" si="81"/>
        <v>0.82340000000000002</v>
      </c>
      <c r="J311" s="18" t="s">
        <v>10</v>
      </c>
    </row>
    <row r="312" spans="1:10">
      <c r="A312" s="18">
        <f>IF(LEN(B312)=0," ",COUNTA($B$30:B312))</f>
        <v>178</v>
      </c>
      <c r="B312" s="18">
        <v>9</v>
      </c>
      <c r="C312" s="4" t="s">
        <v>61</v>
      </c>
      <c r="D312" s="342" t="s">
        <v>59</v>
      </c>
      <c r="E312" s="343"/>
      <c r="F312" s="62">
        <f t="shared" si="80"/>
        <v>1E-3</v>
      </c>
      <c r="G312" s="28">
        <f>150.87*F312</f>
        <v>0.15087</v>
      </c>
      <c r="H312" s="29">
        <f t="shared" si="82"/>
        <v>1</v>
      </c>
      <c r="I312" s="34">
        <f t="shared" si="81"/>
        <v>0.15087</v>
      </c>
      <c r="J312" s="18" t="s">
        <v>10</v>
      </c>
    </row>
    <row r="313" spans="1:10">
      <c r="A313" s="18">
        <f>IF(LEN(B313)=0," ",COUNTA($B$30:B313))</f>
        <v>179</v>
      </c>
      <c r="B313" s="18">
        <v>10</v>
      </c>
      <c r="C313" s="4" t="s">
        <v>43</v>
      </c>
      <c r="D313" s="18" t="s">
        <v>62</v>
      </c>
      <c r="E313" s="21" t="s">
        <v>64</v>
      </c>
      <c r="F313" s="62">
        <f t="shared" si="80"/>
        <v>0.01</v>
      </c>
      <c r="G313" s="28">
        <f ca="1">Eval(E313)*F313</f>
        <v>2.8150000000000005E-2</v>
      </c>
      <c r="H313" s="29">
        <f t="shared" si="82"/>
        <v>1</v>
      </c>
      <c r="I313" s="34">
        <f t="shared" ca="1" si="81"/>
        <v>2.8150000000000005E-2</v>
      </c>
      <c r="J313" s="18" t="s">
        <v>4</v>
      </c>
    </row>
    <row r="314" spans="1:10">
      <c r="A314" s="18">
        <f>IF(LEN(B314)=0," ",COUNTA($B$30:B314))</f>
        <v>180</v>
      </c>
      <c r="B314" s="18">
        <v>11</v>
      </c>
      <c r="C314" s="4" t="s">
        <v>44</v>
      </c>
      <c r="D314" s="18" t="s">
        <v>62</v>
      </c>
      <c r="E314" s="18" t="s">
        <v>63</v>
      </c>
      <c r="F314" s="62">
        <f t="shared" si="80"/>
        <v>0.01</v>
      </c>
      <c r="G314" s="28">
        <f ca="1">Eval(E314)*F314</f>
        <v>0.13975000000000001</v>
      </c>
      <c r="H314" s="29">
        <f t="shared" si="82"/>
        <v>1</v>
      </c>
      <c r="I314" s="34">
        <f t="shared" ca="1" si="81"/>
        <v>0.13975000000000001</v>
      </c>
      <c r="J314" s="18" t="s">
        <v>4</v>
      </c>
    </row>
    <row r="315" spans="1:10">
      <c r="A315" s="18">
        <f>IF(LEN(B315)=0," ",COUNTA($B$30:B315))</f>
        <v>181</v>
      </c>
      <c r="B315" s="18">
        <v>12</v>
      </c>
      <c r="C315" s="4" t="s">
        <v>12</v>
      </c>
      <c r="D315" s="18"/>
      <c r="E315" s="22"/>
      <c r="F315" s="62"/>
      <c r="G315" s="28"/>
      <c r="H315" s="29">
        <f t="shared" si="82"/>
        <v>1</v>
      </c>
      <c r="I315" s="34">
        <f ca="1">SUM(I316:I319)</f>
        <v>0.65898000000000001</v>
      </c>
      <c r="J315" s="18" t="s">
        <v>4</v>
      </c>
    </row>
    <row r="316" spans="1:10">
      <c r="A316" s="18"/>
      <c r="B316" s="18"/>
      <c r="C316" s="19" t="s">
        <v>45</v>
      </c>
      <c r="D316" s="18" t="s">
        <v>62</v>
      </c>
      <c r="E316" s="20" t="s">
        <v>66</v>
      </c>
      <c r="F316" s="62">
        <f t="shared" ref="F316:F322" si="83">VLOOKUP(J316,$R$2:$S$22,2,0)</f>
        <v>0.01</v>
      </c>
      <c r="G316" s="28">
        <f t="shared" ref="G316:G322" ca="1" si="84">Eval(E316)*F316</f>
        <v>0.33158000000000004</v>
      </c>
      <c r="H316" s="29">
        <f t="shared" si="82"/>
        <v>1</v>
      </c>
      <c r="I316" s="34">
        <f t="shared" ref="I316:I322" ca="1" si="85">G316*H316</f>
        <v>0.33158000000000004</v>
      </c>
      <c r="J316" s="18" t="s">
        <v>4</v>
      </c>
    </row>
    <row r="317" spans="1:10">
      <c r="A317" s="18"/>
      <c r="B317" s="18"/>
      <c r="C317" s="19" t="s">
        <v>46</v>
      </c>
      <c r="D317" s="18" t="s">
        <v>62</v>
      </c>
      <c r="E317" s="20" t="s">
        <v>65</v>
      </c>
      <c r="F317" s="62">
        <f t="shared" si="83"/>
        <v>0.01</v>
      </c>
      <c r="G317" s="28">
        <f t="shared" ca="1" si="84"/>
        <v>0.33039999999999997</v>
      </c>
      <c r="H317" s="29">
        <f t="shared" si="82"/>
        <v>1</v>
      </c>
      <c r="I317" s="34">
        <f t="shared" ca="1" si="85"/>
        <v>0.33039999999999997</v>
      </c>
      <c r="J317" s="18" t="s">
        <v>4</v>
      </c>
    </row>
    <row r="318" spans="1:10">
      <c r="A318" s="18"/>
      <c r="B318" s="18"/>
      <c r="C318" s="19" t="s">
        <v>47</v>
      </c>
      <c r="D318" s="18" t="s">
        <v>67</v>
      </c>
      <c r="E318" s="20" t="s">
        <v>68</v>
      </c>
      <c r="F318" s="62">
        <f t="shared" si="83"/>
        <v>0.01</v>
      </c>
      <c r="G318" s="28">
        <f t="shared" ca="1" si="84"/>
        <v>1.1399999999999999E-2</v>
      </c>
      <c r="H318" s="29">
        <f t="shared" si="82"/>
        <v>1</v>
      </c>
      <c r="I318" s="34">
        <f t="shared" ca="1" si="85"/>
        <v>1.1399999999999999E-2</v>
      </c>
      <c r="J318" s="18" t="s">
        <v>4</v>
      </c>
    </row>
    <row r="319" spans="1:10">
      <c r="A319" s="18"/>
      <c r="B319" s="18"/>
      <c r="C319" s="19" t="s">
        <v>127</v>
      </c>
      <c r="D319" s="18" t="s">
        <v>69</v>
      </c>
      <c r="E319" s="30" t="s">
        <v>136</v>
      </c>
      <c r="F319" s="62">
        <f t="shared" si="83"/>
        <v>0.01</v>
      </c>
      <c r="G319" s="28">
        <f t="shared" ca="1" si="84"/>
        <v>-1.44E-2</v>
      </c>
      <c r="H319" s="29">
        <f t="shared" si="82"/>
        <v>1</v>
      </c>
      <c r="I319" s="34">
        <f t="shared" ca="1" si="85"/>
        <v>-1.44E-2</v>
      </c>
      <c r="J319" s="18" t="s">
        <v>4</v>
      </c>
    </row>
    <row r="320" spans="1:10">
      <c r="A320" s="18">
        <f>IF(LEN(B320)=0," ",COUNTA($B$30:B320))</f>
        <v>182</v>
      </c>
      <c r="B320" s="18">
        <v>13</v>
      </c>
      <c r="C320" s="4" t="s">
        <v>48</v>
      </c>
      <c r="D320" s="18" t="s">
        <v>69</v>
      </c>
      <c r="E320" s="21" t="s">
        <v>70</v>
      </c>
      <c r="F320" s="62">
        <f t="shared" si="83"/>
        <v>0.01</v>
      </c>
      <c r="G320" s="28">
        <f t="shared" ca="1" si="84"/>
        <v>2.5400000000000002E-2</v>
      </c>
      <c r="H320" s="29">
        <f>$I$242*3</f>
        <v>3</v>
      </c>
      <c r="I320" s="34">
        <f t="shared" ca="1" si="85"/>
        <v>7.6200000000000004E-2</v>
      </c>
      <c r="J320" s="18" t="s">
        <v>4</v>
      </c>
    </row>
    <row r="321" spans="1:15">
      <c r="A321" s="18">
        <f>IF(LEN(B321)=0," ",COUNTA($B$30:B321))</f>
        <v>183</v>
      </c>
      <c r="B321" s="18">
        <v>14</v>
      </c>
      <c r="C321" s="4" t="s">
        <v>49</v>
      </c>
      <c r="D321" s="18" t="s">
        <v>72</v>
      </c>
      <c r="E321" s="18" t="s">
        <v>73</v>
      </c>
      <c r="F321" s="62">
        <f t="shared" si="83"/>
        <v>1</v>
      </c>
      <c r="G321" s="28">
        <f t="shared" ca="1" si="84"/>
        <v>6</v>
      </c>
      <c r="H321" s="29">
        <f>$I$242</f>
        <v>1</v>
      </c>
      <c r="I321" s="34">
        <f t="shared" ca="1" si="85"/>
        <v>6</v>
      </c>
      <c r="J321" s="18" t="s">
        <v>2</v>
      </c>
    </row>
    <row r="322" spans="1:15">
      <c r="A322" s="18">
        <f>IF(LEN(B322)=0," ",COUNTA($B$30:B322))</f>
        <v>184</v>
      </c>
      <c r="B322" s="18">
        <v>15</v>
      </c>
      <c r="C322" s="4" t="s">
        <v>343</v>
      </c>
      <c r="D322" s="18" t="s">
        <v>71</v>
      </c>
      <c r="E322" s="20" t="s">
        <v>74</v>
      </c>
      <c r="F322" s="62">
        <f t="shared" si="83"/>
        <v>1</v>
      </c>
      <c r="G322" s="28">
        <f t="shared" ca="1" si="84"/>
        <v>7.4</v>
      </c>
      <c r="H322" s="29">
        <f>$I$242</f>
        <v>1</v>
      </c>
      <c r="I322" s="34">
        <f t="shared" ca="1" si="85"/>
        <v>7.4</v>
      </c>
      <c r="J322" s="18" t="s">
        <v>2</v>
      </c>
    </row>
    <row r="323" spans="1:15" ht="15.6">
      <c r="A323"/>
      <c r="B323"/>
      <c r="C323"/>
      <c r="D323"/>
      <c r="E323"/>
      <c r="F323"/>
      <c r="G323"/>
      <c r="H323"/>
      <c r="I323"/>
      <c r="J323"/>
    </row>
    <row r="324" spans="1:15" ht="15.6">
      <c r="A324" s="71" t="s">
        <v>253</v>
      </c>
      <c r="B324" s="72"/>
      <c r="C324" s="346" t="s">
        <v>290</v>
      </c>
      <c r="D324" s="347"/>
      <c r="E324" s="348"/>
      <c r="F324"/>
      <c r="G324"/>
      <c r="H324"/>
      <c r="I324"/>
      <c r="J324"/>
      <c r="L324"/>
      <c r="M324"/>
      <c r="N324"/>
      <c r="O324"/>
    </row>
    <row r="325" spans="1:15" ht="15.6">
      <c r="A325" s="71" t="s">
        <v>291</v>
      </c>
      <c r="B325" s="72">
        <v>1</v>
      </c>
      <c r="C325" s="7" t="s">
        <v>11</v>
      </c>
      <c r="D325" s="7" t="s">
        <v>292</v>
      </c>
      <c r="E325" s="71" t="s">
        <v>9</v>
      </c>
      <c r="F325"/>
      <c r="G325"/>
      <c r="H325"/>
      <c r="I325"/>
      <c r="J325"/>
      <c r="L325"/>
      <c r="M325"/>
      <c r="N325"/>
      <c r="O325"/>
    </row>
    <row r="326" spans="1:15" ht="15.6">
      <c r="A326" s="72">
        <f>IF(LEN(B326)=0," ",COUNTA($B$30:B326))</f>
        <v>186</v>
      </c>
      <c r="B326" s="72">
        <v>2</v>
      </c>
      <c r="C326" s="4" t="s">
        <v>33</v>
      </c>
      <c r="D326" s="73">
        <f ca="1">SUMIF($C$30:$C$322,"BT lót móng đá 1x2 M150 dày 10cm",$I$30:$I$322)</f>
        <v>276.59549499999991</v>
      </c>
      <c r="E326" s="72" t="s">
        <v>5</v>
      </c>
      <c r="F326"/>
      <c r="G326"/>
      <c r="H326"/>
      <c r="I326"/>
      <c r="J326"/>
      <c r="L326"/>
      <c r="M326"/>
      <c r="N326"/>
      <c r="O326"/>
    </row>
    <row r="327" spans="1:15" ht="15.6">
      <c r="A327" s="72">
        <f>IF(LEN(B327)=0," ",COUNTA($B$30:B327))</f>
        <v>187</v>
      </c>
      <c r="B327" s="72">
        <v>3</v>
      </c>
      <c r="C327" s="4" t="s">
        <v>36</v>
      </c>
      <c r="D327" s="73">
        <f ca="1">SUMIF($C$30:$C$322,C327,$I$30:$I$322)</f>
        <v>1354.4010250000003</v>
      </c>
      <c r="E327" s="72" t="s">
        <v>5</v>
      </c>
      <c r="F327"/>
      <c r="G327"/>
      <c r="H327"/>
      <c r="I327"/>
      <c r="J327"/>
      <c r="L327"/>
      <c r="M327"/>
      <c r="N327"/>
      <c r="O327"/>
    </row>
    <row r="328" spans="1:15" ht="15.6">
      <c r="A328" s="72">
        <f>IF(LEN(B328)=0," ",COUNTA($B$30:B328))</f>
        <v>188</v>
      </c>
      <c r="B328" s="72">
        <v>4</v>
      </c>
      <c r="C328" s="4" t="s">
        <v>37</v>
      </c>
      <c r="D328" s="73">
        <f t="shared" ref="D328:D340" ca="1" si="86">SUMIF($C$30:$C$322,C328,$I$30:$I$322)</f>
        <v>715.86318000000006</v>
      </c>
      <c r="E328" s="72" t="s">
        <v>5</v>
      </c>
      <c r="F328"/>
      <c r="G328"/>
      <c r="H328"/>
      <c r="I328"/>
      <c r="J328"/>
      <c r="L328"/>
      <c r="M328"/>
      <c r="N328"/>
      <c r="O328"/>
    </row>
    <row r="329" spans="1:15" ht="15.6">
      <c r="A329" s="72">
        <f>IF(LEN(B329)=0," ",COUNTA($B$30:B329))</f>
        <v>189</v>
      </c>
      <c r="B329" s="72">
        <v>5</v>
      </c>
      <c r="C329" s="4" t="s">
        <v>38</v>
      </c>
      <c r="D329" s="73">
        <f t="shared" ca="1" si="86"/>
        <v>61.341000000000008</v>
      </c>
      <c r="E329" s="72" t="s">
        <v>5</v>
      </c>
      <c r="F329"/>
      <c r="G329"/>
      <c r="H329"/>
      <c r="I329"/>
      <c r="J329"/>
      <c r="L329"/>
      <c r="M329"/>
      <c r="N329"/>
      <c r="O329"/>
    </row>
    <row r="330" spans="1:15" ht="15.6">
      <c r="A330" s="72">
        <f>IF(LEN(B330)=0," ",COUNTA($B$30:B330))</f>
        <v>190</v>
      </c>
      <c r="B330" s="72">
        <v>6</v>
      </c>
      <c r="C330" s="4" t="s">
        <v>39</v>
      </c>
      <c r="D330" s="73">
        <f t="shared" si="86"/>
        <v>2.12581</v>
      </c>
      <c r="E330" s="72" t="s">
        <v>10</v>
      </c>
      <c r="F330"/>
      <c r="G330"/>
      <c r="H330"/>
      <c r="I330"/>
      <c r="J330"/>
      <c r="L330"/>
      <c r="M330"/>
      <c r="N330"/>
      <c r="O330"/>
    </row>
    <row r="331" spans="1:15" ht="15.6">
      <c r="A331" s="72">
        <f>IF(LEN(B331)=0," ",COUNTA($B$30:B331))</f>
        <v>191</v>
      </c>
      <c r="B331" s="72">
        <v>7</v>
      </c>
      <c r="C331" s="4" t="s">
        <v>40</v>
      </c>
      <c r="D331" s="73">
        <f t="shared" si="86"/>
        <v>73.305590000000009</v>
      </c>
      <c r="E331" s="72" t="s">
        <v>10</v>
      </c>
      <c r="F331"/>
      <c r="G331"/>
      <c r="H331"/>
      <c r="I331"/>
      <c r="J331"/>
      <c r="L331"/>
      <c r="M331"/>
      <c r="N331"/>
      <c r="O331"/>
    </row>
    <row r="332" spans="1:15" ht="15.6">
      <c r="A332" s="72">
        <f>IF(LEN(B332)=0," ",COUNTA($B$30:B332))</f>
        <v>192</v>
      </c>
      <c r="B332" s="72">
        <v>8</v>
      </c>
      <c r="C332" s="4" t="s">
        <v>41</v>
      </c>
      <c r="D332" s="73">
        <f t="shared" si="86"/>
        <v>1.7807900000000003</v>
      </c>
      <c r="E332" s="72" t="s">
        <v>10</v>
      </c>
      <c r="F332"/>
      <c r="G332"/>
      <c r="H332"/>
      <c r="I332"/>
      <c r="J332"/>
      <c r="L332"/>
      <c r="M332"/>
      <c r="N332"/>
      <c r="O332"/>
    </row>
    <row r="333" spans="1:15" ht="15.6">
      <c r="A333" s="72">
        <f>IF(LEN(B333)=0," ",COUNTA($B$30:B333))</f>
        <v>193</v>
      </c>
      <c r="B333" s="72">
        <v>9</v>
      </c>
      <c r="C333" s="4" t="s">
        <v>42</v>
      </c>
      <c r="D333" s="73">
        <f t="shared" si="86"/>
        <v>45.284249999999993</v>
      </c>
      <c r="E333" s="72" t="s">
        <v>10</v>
      </c>
      <c r="F333"/>
      <c r="G333"/>
      <c r="H333"/>
      <c r="I333"/>
      <c r="J333"/>
      <c r="L333"/>
      <c r="M333"/>
      <c r="N333"/>
      <c r="O333"/>
    </row>
    <row r="334" spans="1:15" ht="15.6">
      <c r="A334" s="72">
        <f>IF(LEN(B334)=0," ",COUNTA($B$30:B334))</f>
        <v>194</v>
      </c>
      <c r="B334" s="72">
        <v>10</v>
      </c>
      <c r="C334" s="4" t="s">
        <v>61</v>
      </c>
      <c r="D334" s="73">
        <f t="shared" si="86"/>
        <v>8.0966900000000024</v>
      </c>
      <c r="E334" s="72" t="s">
        <v>10</v>
      </c>
      <c r="F334"/>
      <c r="G334"/>
      <c r="H334"/>
      <c r="I334"/>
      <c r="J334"/>
      <c r="L334"/>
      <c r="M334"/>
      <c r="N334"/>
      <c r="O334"/>
    </row>
    <row r="335" spans="1:15" ht="15.6">
      <c r="A335" s="72">
        <f>IF(LEN(B335)=0," ",COUNTA($B$30:B335))</f>
        <v>195</v>
      </c>
      <c r="B335" s="72">
        <v>11</v>
      </c>
      <c r="C335" s="4" t="s">
        <v>43</v>
      </c>
      <c r="D335" s="73">
        <f t="shared" ca="1" si="86"/>
        <v>1.4926119999999998</v>
      </c>
      <c r="E335" s="72" t="s">
        <v>4</v>
      </c>
      <c r="F335"/>
      <c r="G335"/>
      <c r="H335"/>
      <c r="I335"/>
      <c r="J335"/>
      <c r="L335"/>
      <c r="M335"/>
      <c r="N335"/>
      <c r="O335"/>
    </row>
    <row r="336" spans="1:15" ht="15.6">
      <c r="A336" s="72">
        <f>IF(LEN(B336)=0," ",COUNTA($B$30:B336))</f>
        <v>196</v>
      </c>
      <c r="B336" s="72">
        <v>12</v>
      </c>
      <c r="C336" s="4" t="s">
        <v>44</v>
      </c>
      <c r="D336" s="73">
        <f t="shared" ca="1" si="86"/>
        <v>7.6418100000000013</v>
      </c>
      <c r="E336" s="72" t="s">
        <v>4</v>
      </c>
      <c r="F336"/>
      <c r="G336"/>
      <c r="H336"/>
      <c r="I336"/>
      <c r="J336"/>
      <c r="L336"/>
      <c r="M336"/>
      <c r="N336"/>
      <c r="O336"/>
    </row>
    <row r="337" spans="1:15" ht="15.6">
      <c r="A337" s="72">
        <f>IF(LEN(B337)=0," ",COUNTA($B$30:B337))</f>
        <v>197</v>
      </c>
      <c r="B337" s="72">
        <v>13</v>
      </c>
      <c r="C337" s="4" t="s">
        <v>12</v>
      </c>
      <c r="D337" s="73">
        <f t="shared" ca="1" si="86"/>
        <v>36.271470800000003</v>
      </c>
      <c r="E337" s="72" t="s">
        <v>4</v>
      </c>
      <c r="F337"/>
      <c r="G337"/>
      <c r="H337"/>
      <c r="I337"/>
      <c r="J337"/>
      <c r="L337"/>
      <c r="M337"/>
      <c r="N337"/>
      <c r="O337"/>
    </row>
    <row r="338" spans="1:15" ht="15.6">
      <c r="A338" s="72">
        <f>IF(LEN(B338)=0," ",COUNTA($B$30:B338))</f>
        <v>198</v>
      </c>
      <c r="B338" s="72">
        <v>14</v>
      </c>
      <c r="C338" s="4" t="s">
        <v>48</v>
      </c>
      <c r="D338" s="73">
        <f t="shared" ca="1" si="86"/>
        <v>4.0894000000000004</v>
      </c>
      <c r="E338" s="72" t="s">
        <v>4</v>
      </c>
      <c r="F338"/>
      <c r="G338"/>
      <c r="H338"/>
      <c r="I338"/>
      <c r="J338"/>
      <c r="L338"/>
      <c r="M338"/>
      <c r="N338"/>
      <c r="O338"/>
    </row>
    <row r="339" spans="1:15" ht="15.6">
      <c r="A339" s="72">
        <f>IF(LEN(B339)=0," ",COUNTA($B$30:B339))</f>
        <v>199</v>
      </c>
      <c r="B339" s="72">
        <v>15</v>
      </c>
      <c r="C339" s="4" t="s">
        <v>49</v>
      </c>
      <c r="D339" s="73">
        <f t="shared" ca="1" si="86"/>
        <v>320</v>
      </c>
      <c r="E339" s="72" t="s">
        <v>2</v>
      </c>
      <c r="F339"/>
      <c r="G339"/>
      <c r="H339"/>
      <c r="I339"/>
      <c r="J339"/>
      <c r="L339"/>
      <c r="M339"/>
      <c r="N339"/>
      <c r="O339"/>
    </row>
    <row r="340" spans="1:15" ht="15.6">
      <c r="A340" s="72">
        <f>IF(LEN(B340)=0," ",COUNTA($B$30:B340))</f>
        <v>200</v>
      </c>
      <c r="B340" s="72">
        <v>16</v>
      </c>
      <c r="C340" s="4" t="s">
        <v>124</v>
      </c>
      <c r="D340" s="73">
        <f t="shared" ca="1" si="86"/>
        <v>392.19999999999976</v>
      </c>
      <c r="E340" s="72" t="s">
        <v>2</v>
      </c>
      <c r="F340"/>
      <c r="G340"/>
      <c r="H340"/>
      <c r="I340"/>
      <c r="J340"/>
      <c r="L340"/>
      <c r="M340"/>
      <c r="N340"/>
      <c r="O340"/>
    </row>
    <row r="341" spans="1:15" ht="15.6">
      <c r="L341"/>
      <c r="M341"/>
      <c r="N341"/>
      <c r="O341"/>
    </row>
    <row r="342" spans="1:15" ht="15.6">
      <c r="L342"/>
      <c r="M342"/>
      <c r="N342"/>
      <c r="O342"/>
    </row>
    <row r="343" spans="1:15" ht="15.6">
      <c r="L343"/>
      <c r="M343"/>
      <c r="N343"/>
      <c r="O343"/>
    </row>
    <row r="344" spans="1:15" ht="15.6">
      <c r="L344"/>
      <c r="M344"/>
      <c r="N344"/>
      <c r="O344"/>
    </row>
    <row r="345" spans="1:15" ht="15.6">
      <c r="L345"/>
      <c r="M345"/>
      <c r="N345"/>
      <c r="O345"/>
    </row>
    <row r="346" spans="1:15" ht="15.6">
      <c r="L346"/>
      <c r="M346"/>
      <c r="N346"/>
      <c r="O346"/>
    </row>
    <row r="347" spans="1:15" ht="15.6">
      <c r="L347"/>
      <c r="M347"/>
      <c r="N347"/>
      <c r="O347"/>
    </row>
    <row r="348" spans="1:15" ht="15.6">
      <c r="L348"/>
      <c r="M348"/>
      <c r="N348"/>
      <c r="O348"/>
    </row>
    <row r="349" spans="1:15" ht="15.6">
      <c r="L349"/>
      <c r="M349"/>
      <c r="N349"/>
      <c r="O349"/>
    </row>
  </sheetData>
  <mergeCells count="68">
    <mergeCell ref="C324:E324"/>
    <mergeCell ref="A27:I27"/>
    <mergeCell ref="A28:I28"/>
    <mergeCell ref="A25:I25"/>
    <mergeCell ref="A26:I26"/>
    <mergeCell ref="D85:E85"/>
    <mergeCell ref="D29:E29"/>
    <mergeCell ref="D39:E39"/>
    <mergeCell ref="D40:E40"/>
    <mergeCell ref="D41:E41"/>
    <mergeCell ref="D42:E42"/>
    <mergeCell ref="D66:E66"/>
    <mergeCell ref="D43:E43"/>
    <mergeCell ref="D62:E62"/>
    <mergeCell ref="D63:E63"/>
    <mergeCell ref="D64:E64"/>
    <mergeCell ref="D65:E65"/>
    <mergeCell ref="D86:E86"/>
    <mergeCell ref="D87:E87"/>
    <mergeCell ref="D88:E88"/>
    <mergeCell ref="D89:E89"/>
    <mergeCell ref="D108:E108"/>
    <mergeCell ref="D109:E109"/>
    <mergeCell ref="D110:E110"/>
    <mergeCell ref="D111:E111"/>
    <mergeCell ref="D112:E112"/>
    <mergeCell ref="D131:E131"/>
    <mergeCell ref="D132:E132"/>
    <mergeCell ref="D133:E133"/>
    <mergeCell ref="D134:E134"/>
    <mergeCell ref="D135:E135"/>
    <mergeCell ref="D154:E154"/>
    <mergeCell ref="D155:E155"/>
    <mergeCell ref="D156:E156"/>
    <mergeCell ref="D157:E157"/>
    <mergeCell ref="D158:E158"/>
    <mergeCell ref="D177:E177"/>
    <mergeCell ref="D178:E178"/>
    <mergeCell ref="D179:E179"/>
    <mergeCell ref="D180:E180"/>
    <mergeCell ref="D181:E181"/>
    <mergeCell ref="D200:E200"/>
    <mergeCell ref="D201:E201"/>
    <mergeCell ref="D202:E202"/>
    <mergeCell ref="D203:E203"/>
    <mergeCell ref="D204:E204"/>
    <mergeCell ref="D223:E223"/>
    <mergeCell ref="D240:E240"/>
    <mergeCell ref="D253:E253"/>
    <mergeCell ref="D224:E224"/>
    <mergeCell ref="D225:E225"/>
    <mergeCell ref="D226:E226"/>
    <mergeCell ref="D227:E227"/>
    <mergeCell ref="D239:E239"/>
    <mergeCell ref="D309:E309"/>
    <mergeCell ref="D310:E310"/>
    <mergeCell ref="D311:E311"/>
    <mergeCell ref="D312:E312"/>
    <mergeCell ref="D281:E281"/>
    <mergeCell ref="D282:E282"/>
    <mergeCell ref="D283:E283"/>
    <mergeCell ref="D284:E284"/>
    <mergeCell ref="D308:E308"/>
    <mergeCell ref="D254:E254"/>
    <mergeCell ref="D255:E255"/>
    <mergeCell ref="D256:E256"/>
    <mergeCell ref="D257:E257"/>
    <mergeCell ref="D280:E280"/>
  </mergeCells>
  <conditionalFormatting sqref="A250:A267 B265:B267 A269:A293 A268:C268 C250:C267 A294:C297 A31:J52 A298:A322 A324:A340 D145:J322 A53:B144 A145:C249 C269:C293 C298:C322">
    <cfRule type="expression" dxfId="112" priority="20">
      <formula>$A31=""</formula>
    </cfRule>
  </conditionalFormatting>
  <conditionalFormatting sqref="B259:B264">
    <cfRule type="expression" dxfId="111" priority="22">
      <formula>$A257=""</formula>
    </cfRule>
  </conditionalFormatting>
  <conditionalFormatting sqref="B252:B258">
    <cfRule type="expression" dxfId="110" priority="17">
      <formula>$A252=""</formula>
    </cfRule>
  </conditionalFormatting>
  <conditionalFormatting sqref="B269:B275 B291:B293">
    <cfRule type="expression" dxfId="109" priority="14">
      <formula>$A269=""</formula>
    </cfRule>
  </conditionalFormatting>
  <conditionalFormatting sqref="B287:B288 B290">
    <cfRule type="expression" dxfId="108" priority="15">
      <formula>$A285=""</formula>
    </cfRule>
  </conditionalFormatting>
  <conditionalFormatting sqref="B278:B286">
    <cfRule type="expression" dxfId="107" priority="13">
      <formula>$A278=""</formula>
    </cfRule>
  </conditionalFormatting>
  <conditionalFormatting sqref="B289">
    <cfRule type="expression" dxfId="106" priority="12">
      <formula>$A289=""</formula>
    </cfRule>
  </conditionalFormatting>
  <conditionalFormatting sqref="B298:B304 B320:B322 B324:B340">
    <cfRule type="expression" dxfId="105" priority="10">
      <formula>$A298=""</formula>
    </cfRule>
  </conditionalFormatting>
  <conditionalFormatting sqref="B314:B319">
    <cfRule type="expression" dxfId="104" priority="11">
      <formula>$A312=""</formula>
    </cfRule>
  </conditionalFormatting>
  <conditionalFormatting sqref="B307:B313">
    <cfRule type="expression" dxfId="103" priority="9">
      <formula>$A307=""</formula>
    </cfRule>
  </conditionalFormatting>
  <conditionalFormatting sqref="C325:D325 C324">
    <cfRule type="expression" dxfId="102" priority="8">
      <formula>$A324=""</formula>
    </cfRule>
  </conditionalFormatting>
  <conditionalFormatting sqref="C330:C337">
    <cfRule type="expression" dxfId="101" priority="7">
      <formula>$A32=""</formula>
    </cfRule>
  </conditionalFormatting>
  <conditionalFormatting sqref="C338:C340">
    <cfRule type="expression" dxfId="100" priority="6">
      <formula>$A40=""</formula>
    </cfRule>
  </conditionalFormatting>
  <conditionalFormatting sqref="C53:J54 C56:J77 D55:J55 C79:J100 D78:J78 C102:J123 D101:J101 C125:J144 D124:J124">
    <cfRule type="expression" dxfId="99" priority="5">
      <formula>$A53=""</formula>
    </cfRule>
  </conditionalFormatting>
  <conditionalFormatting sqref="C55">
    <cfRule type="expression" dxfId="98" priority="4">
      <formula>$A55=""</formula>
    </cfRule>
  </conditionalFormatting>
  <conditionalFormatting sqref="C78">
    <cfRule type="expression" dxfId="97" priority="3">
      <formula>$A78=""</formula>
    </cfRule>
  </conditionalFormatting>
  <conditionalFormatting sqref="C101">
    <cfRule type="expression" dxfId="96" priority="2">
      <formula>$A101=""</formula>
    </cfRule>
  </conditionalFormatting>
  <conditionalFormatting sqref="C124">
    <cfRule type="expression" dxfId="95" priority="1">
      <formula>$A124=""</formula>
    </cfRule>
  </conditionalFormatting>
  <dataValidations disablePrompts="1" count="1">
    <dataValidation type="list" allowBlank="1" showInputMessage="1" showErrorMessage="1" sqref="J30:J322" xr:uid="{00000000-0002-0000-0100-000000000000}">
      <formula1>$R$2:$R$22</formula1>
    </dataValidation>
  </dataValidation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C000"/>
    <pageSetUpPr fitToPage="1"/>
  </sheetPr>
  <dimension ref="A1:J44"/>
  <sheetViews>
    <sheetView view="pageBreakPreview" topLeftCell="B1" zoomScale="90" zoomScaleNormal="115" zoomScaleSheetLayoutView="90" workbookViewId="0">
      <selection activeCell="D5" sqref="D5"/>
    </sheetView>
  </sheetViews>
  <sheetFormatPr defaultColWidth="9.109375" defaultRowHeight="13.2"/>
  <cols>
    <col min="1" max="1" width="4.88671875" style="226" hidden="1" customWidth="1"/>
    <col min="2" max="2" width="31.6640625" style="227" bestFit="1" customWidth="1"/>
    <col min="3" max="3" width="28.6640625" style="216" customWidth="1"/>
    <col min="4" max="4" width="11" style="216" customWidth="1"/>
    <col min="5" max="5" width="11.6640625" style="216" bestFit="1" customWidth="1"/>
    <col min="6" max="6" width="7.109375" style="216" bestFit="1" customWidth="1"/>
    <col min="7" max="7" width="14.33203125" style="222" bestFit="1" customWidth="1"/>
    <col min="8" max="8" width="32.109375" style="216" bestFit="1" customWidth="1"/>
    <col min="9" max="16384" width="9.109375" style="216"/>
  </cols>
  <sheetData>
    <row r="1" spans="1:10" s="217" customFormat="1" ht="17.399999999999999">
      <c r="A1" s="353" t="s">
        <v>165</v>
      </c>
      <c r="B1" s="353"/>
      <c r="C1" s="353"/>
      <c r="D1" s="353"/>
      <c r="E1" s="353"/>
      <c r="F1" s="353"/>
      <c r="G1" s="353"/>
    </row>
    <row r="2" spans="1:10" s="219" customFormat="1" ht="27.6">
      <c r="A2" s="189" t="s">
        <v>166</v>
      </c>
      <c r="B2" s="189" t="s">
        <v>167</v>
      </c>
      <c r="C2" s="189" t="s">
        <v>168</v>
      </c>
      <c r="D2" s="189" t="s">
        <v>169</v>
      </c>
      <c r="E2" s="218" t="s">
        <v>170</v>
      </c>
      <c r="F2" s="218" t="s">
        <v>171</v>
      </c>
      <c r="G2" s="191" t="s">
        <v>172</v>
      </c>
    </row>
    <row r="3" spans="1:10" s="220" customFormat="1" ht="13.8">
      <c r="A3" s="57">
        <v>1</v>
      </c>
      <c r="B3" s="193" t="s">
        <v>173</v>
      </c>
      <c r="C3" s="57">
        <v>18000</v>
      </c>
      <c r="D3" s="193">
        <v>6</v>
      </c>
      <c r="E3" s="194">
        <f t="shared" ref="E3:E8" si="0">C3*D3/1000</f>
        <v>108</v>
      </c>
      <c r="F3" s="194">
        <v>94</v>
      </c>
      <c r="G3" s="195">
        <f t="shared" ref="G3:G8" si="1">E3*F3</f>
        <v>10152</v>
      </c>
    </row>
    <row r="4" spans="1:10" s="220" customFormat="1" ht="13.8">
      <c r="A4" s="57">
        <v>2</v>
      </c>
      <c r="B4" s="193" t="s">
        <v>174</v>
      </c>
      <c r="C4" s="57">
        <v>12000</v>
      </c>
      <c r="D4" s="193">
        <v>8</v>
      </c>
      <c r="E4" s="194">
        <f t="shared" si="0"/>
        <v>96</v>
      </c>
      <c r="F4" s="194">
        <v>38.4</v>
      </c>
      <c r="G4" s="195">
        <f t="shared" si="1"/>
        <v>3686.3999999999996</v>
      </c>
    </row>
    <row r="5" spans="1:10" s="220" customFormat="1" ht="13.8">
      <c r="A5" s="57">
        <v>3</v>
      </c>
      <c r="B5" s="193" t="s">
        <v>175</v>
      </c>
      <c r="C5" s="57">
        <v>6275</v>
      </c>
      <c r="D5" s="193">
        <v>6</v>
      </c>
      <c r="E5" s="194">
        <f t="shared" si="0"/>
        <v>37.65</v>
      </c>
      <c r="F5" s="194">
        <v>27.2</v>
      </c>
      <c r="G5" s="195">
        <f t="shared" si="1"/>
        <v>1024.08</v>
      </c>
    </row>
    <row r="6" spans="1:10" s="220" customFormat="1" ht="13.8">
      <c r="A6" s="57">
        <v>4</v>
      </c>
      <c r="B6" s="193" t="s">
        <v>176</v>
      </c>
      <c r="C6" s="57">
        <v>2000</v>
      </c>
      <c r="D6" s="193">
        <f>1*4</f>
        <v>4</v>
      </c>
      <c r="E6" s="194">
        <f t="shared" si="0"/>
        <v>8</v>
      </c>
      <c r="F6" s="194">
        <v>21.3</v>
      </c>
      <c r="G6" s="195">
        <f t="shared" si="1"/>
        <v>170.4</v>
      </c>
    </row>
    <row r="7" spans="1:10" s="220" customFormat="1" ht="13.8">
      <c r="A7" s="57">
        <v>5</v>
      </c>
      <c r="B7" s="193" t="s">
        <v>177</v>
      </c>
      <c r="C7" s="57">
        <v>800</v>
      </c>
      <c r="D7" s="193">
        <f>D6</f>
        <v>4</v>
      </c>
      <c r="E7" s="194">
        <f t="shared" si="0"/>
        <v>3.2</v>
      </c>
      <c r="F7" s="194">
        <v>15</v>
      </c>
      <c r="G7" s="195">
        <f t="shared" si="1"/>
        <v>48</v>
      </c>
    </row>
    <row r="8" spans="1:10" s="220" customFormat="1" ht="13.8">
      <c r="A8" s="57">
        <v>6</v>
      </c>
      <c r="B8" s="193" t="s">
        <v>178</v>
      </c>
      <c r="C8" s="57">
        <v>250</v>
      </c>
      <c r="D8" s="193">
        <v>24</v>
      </c>
      <c r="E8" s="194">
        <f t="shared" si="0"/>
        <v>6</v>
      </c>
      <c r="F8" s="194">
        <v>14</v>
      </c>
      <c r="G8" s="195">
        <f t="shared" si="1"/>
        <v>84</v>
      </c>
    </row>
    <row r="9" spans="1:10" s="207" customFormat="1" ht="13.8">
      <c r="A9" s="354"/>
      <c r="B9" s="356" t="s">
        <v>179</v>
      </c>
      <c r="C9" s="356"/>
      <c r="D9" s="356"/>
      <c r="E9" s="356"/>
      <c r="F9" s="356"/>
      <c r="G9" s="312">
        <f>SUM(G3:G8)</f>
        <v>15164.88</v>
      </c>
    </row>
    <row r="10" spans="1:10" s="207" customFormat="1" ht="13.8">
      <c r="A10" s="355"/>
      <c r="B10" s="357"/>
      <c r="C10" s="357"/>
      <c r="D10" s="313" t="s">
        <v>180</v>
      </c>
      <c r="E10" s="314"/>
      <c r="F10" s="314"/>
      <c r="G10" s="315">
        <f>G3</f>
        <v>10152</v>
      </c>
    </row>
    <row r="11" spans="1:10" s="207" customFormat="1" ht="13.8">
      <c r="A11" s="355"/>
      <c r="B11" s="357"/>
      <c r="C11" s="357"/>
      <c r="D11" s="313" t="s">
        <v>181</v>
      </c>
      <c r="E11" s="314"/>
      <c r="F11" s="314"/>
      <c r="G11" s="315">
        <f>G4+G5+G8</f>
        <v>4794.4799999999996</v>
      </c>
    </row>
    <row r="12" spans="1:10" s="207" customFormat="1" ht="13.8">
      <c r="A12" s="221"/>
      <c r="B12" s="316"/>
      <c r="C12" s="316"/>
      <c r="D12" s="316" t="s">
        <v>182</v>
      </c>
      <c r="E12" s="316"/>
      <c r="F12" s="316"/>
      <c r="G12" s="315">
        <f>G7+G6</f>
        <v>218.4</v>
      </c>
    </row>
    <row r="13" spans="1:10" s="203" customFormat="1" ht="13.8">
      <c r="A13" s="201" t="s">
        <v>183</v>
      </c>
      <c r="B13" s="190" t="s">
        <v>186</v>
      </c>
      <c r="C13" s="190" t="s">
        <v>187</v>
      </c>
      <c r="D13" s="201" t="s">
        <v>13</v>
      </c>
      <c r="E13" s="202" t="s">
        <v>184</v>
      </c>
      <c r="F13" s="209"/>
      <c r="G13" s="209"/>
      <c r="H13" s="209"/>
      <c r="I13" s="209"/>
      <c r="J13" s="209"/>
    </row>
    <row r="14" spans="1:10" s="203" customFormat="1" ht="13.8">
      <c r="A14" s="54">
        <v>1</v>
      </c>
      <c r="B14" s="204" t="s">
        <v>188</v>
      </c>
      <c r="C14" s="204"/>
      <c r="D14" s="205" t="s">
        <v>189</v>
      </c>
      <c r="E14" s="206">
        <v>541</v>
      </c>
      <c r="F14" s="209"/>
      <c r="G14" s="209"/>
      <c r="H14" s="209"/>
      <c r="I14" s="209"/>
      <c r="J14" s="209"/>
    </row>
    <row r="15" spans="1:10" s="203" customFormat="1" ht="13.8">
      <c r="A15" s="55">
        <v>2</v>
      </c>
      <c r="B15" s="204" t="s">
        <v>191</v>
      </c>
      <c r="C15" s="204"/>
      <c r="D15" s="189" t="s">
        <v>185</v>
      </c>
      <c r="E15" s="208">
        <f>ROUND(E14/11,0)</f>
        <v>49</v>
      </c>
      <c r="F15" s="209"/>
      <c r="G15" s="209"/>
      <c r="H15" s="209"/>
      <c r="I15" s="209"/>
      <c r="J15" s="209"/>
    </row>
    <row r="16" spans="1:10" s="207" customFormat="1" ht="13.8">
      <c r="A16" s="54">
        <v>3</v>
      </c>
      <c r="B16" s="204" t="s">
        <v>190</v>
      </c>
      <c r="C16" s="204"/>
      <c r="D16" s="189" t="s">
        <v>10</v>
      </c>
      <c r="E16" s="210">
        <f>SUM(E17:E19)</f>
        <v>15.164879999999998</v>
      </c>
      <c r="F16" s="216"/>
      <c r="G16" s="222"/>
      <c r="J16" s="216"/>
    </row>
    <row r="17" spans="1:10" s="224" customFormat="1" ht="14.4">
      <c r="A17" s="56"/>
      <c r="B17" s="223" t="s">
        <v>196</v>
      </c>
      <c r="C17" s="211"/>
      <c r="D17" s="212" t="s">
        <v>10</v>
      </c>
      <c r="E17" s="213">
        <f>G10/1000</f>
        <v>10.151999999999999</v>
      </c>
      <c r="F17" s="216"/>
      <c r="G17" s="222"/>
      <c r="J17" s="216"/>
    </row>
    <row r="18" spans="1:10" s="224" customFormat="1" ht="14.4">
      <c r="A18" s="56"/>
      <c r="B18" s="223" t="s">
        <v>181</v>
      </c>
      <c r="C18" s="211"/>
      <c r="D18" s="212" t="s">
        <v>10</v>
      </c>
      <c r="E18" s="213">
        <f>G11/1000</f>
        <v>4.7944799999999992</v>
      </c>
      <c r="F18" s="216"/>
      <c r="G18" s="222"/>
      <c r="J18" s="216"/>
    </row>
    <row r="19" spans="1:10" s="224" customFormat="1" ht="14.4">
      <c r="A19" s="56"/>
      <c r="B19" s="225" t="s">
        <v>182</v>
      </c>
      <c r="C19" s="211"/>
      <c r="D19" s="212" t="s">
        <v>10</v>
      </c>
      <c r="E19" s="213">
        <f>G12/1000</f>
        <v>0.21840000000000001</v>
      </c>
      <c r="F19" s="216"/>
      <c r="G19" s="222"/>
      <c r="J19" s="216"/>
    </row>
    <row r="20" spans="1:10" s="209" customFormat="1" ht="27.6">
      <c r="A20" s="55">
        <v>4</v>
      </c>
      <c r="B20" s="214" t="s">
        <v>192</v>
      </c>
      <c r="C20" s="189" t="s">
        <v>561</v>
      </c>
      <c r="D20" s="189" t="s">
        <v>10</v>
      </c>
      <c r="E20" s="215">
        <f ca="1">Eval(C20)</f>
        <v>17.8857936</v>
      </c>
      <c r="F20" s="216"/>
      <c r="G20" s="222"/>
      <c r="J20" s="216"/>
    </row>
    <row r="21" spans="1:10" s="209" customFormat="1" ht="27.6">
      <c r="A21" s="54">
        <v>5</v>
      </c>
      <c r="B21" s="214" t="s">
        <v>193</v>
      </c>
      <c r="C21" s="189" t="s">
        <v>562</v>
      </c>
      <c r="D21" s="189" t="s">
        <v>10</v>
      </c>
      <c r="E21" s="215">
        <f ca="1">Eval(C21)</f>
        <v>16.82694</v>
      </c>
      <c r="F21" s="216"/>
      <c r="G21" s="222"/>
      <c r="J21" s="216"/>
    </row>
    <row r="22" spans="1:10" s="209" customFormat="1" ht="13.8">
      <c r="A22" s="55">
        <v>6</v>
      </c>
      <c r="B22" s="214" t="s">
        <v>197</v>
      </c>
      <c r="C22" s="189" t="s">
        <v>563</v>
      </c>
      <c r="D22" s="189" t="s">
        <v>10</v>
      </c>
      <c r="E22" s="215">
        <f ca="1">Eval(C22)</f>
        <v>8.2425800000000002</v>
      </c>
      <c r="F22" s="216"/>
      <c r="G22" s="222"/>
      <c r="J22" s="216"/>
    </row>
    <row r="23" spans="1:10" s="209" customFormat="1" ht="13.8">
      <c r="A23" s="54">
        <v>7</v>
      </c>
      <c r="B23" s="214" t="s">
        <v>198</v>
      </c>
      <c r="C23" s="189" t="s">
        <v>564</v>
      </c>
      <c r="D23" s="189" t="s">
        <v>10</v>
      </c>
      <c r="E23" s="215">
        <f ca="1">Eval(C23)</f>
        <v>352.40799999999996</v>
      </c>
      <c r="F23" s="216"/>
      <c r="G23" s="222"/>
      <c r="J23" s="216"/>
    </row>
    <row r="24" spans="1:10" s="209" customFormat="1" ht="13.8">
      <c r="A24" s="55">
        <v>8</v>
      </c>
      <c r="B24" s="214" t="s">
        <v>194</v>
      </c>
      <c r="C24" s="189" t="s">
        <v>565</v>
      </c>
      <c r="D24" s="189" t="s">
        <v>6</v>
      </c>
      <c r="E24" s="215">
        <f ca="1">Eval(C24)/100</f>
        <v>17.82</v>
      </c>
      <c r="F24" s="216"/>
      <c r="G24" s="222"/>
      <c r="J24" s="216"/>
    </row>
    <row r="25" spans="1:10" s="209" customFormat="1" ht="13.8">
      <c r="A25" s="54">
        <v>9</v>
      </c>
      <c r="B25" s="214" t="s">
        <v>195</v>
      </c>
      <c r="C25" s="189" t="s">
        <v>565</v>
      </c>
      <c r="D25" s="189" t="s">
        <v>6</v>
      </c>
      <c r="E25" s="215">
        <f t="shared" ref="E25:E27" ca="1" si="2">Eval(C25)/100</f>
        <v>17.82</v>
      </c>
      <c r="F25" s="216"/>
      <c r="G25" s="222"/>
      <c r="J25" s="216"/>
    </row>
    <row r="26" spans="1:10" s="209" customFormat="1" ht="13.8">
      <c r="A26" s="55">
        <v>10</v>
      </c>
      <c r="B26" s="214" t="s">
        <v>566</v>
      </c>
      <c r="C26" s="189" t="s">
        <v>565</v>
      </c>
      <c r="D26" s="189" t="str">
        <f>D24</f>
        <v>100m</v>
      </c>
      <c r="E26" s="215">
        <f t="shared" ca="1" si="2"/>
        <v>17.82</v>
      </c>
      <c r="F26" s="216"/>
      <c r="G26" s="222"/>
      <c r="J26" s="216"/>
    </row>
    <row r="27" spans="1:10" ht="13.8">
      <c r="B27" s="214" t="s">
        <v>567</v>
      </c>
      <c r="C27" s="189" t="s">
        <v>565</v>
      </c>
      <c r="D27" s="189" t="str">
        <f>D25</f>
        <v>100m</v>
      </c>
      <c r="E27" s="215">
        <f t="shared" ca="1" si="2"/>
        <v>17.82</v>
      </c>
    </row>
    <row r="33" spans="2:7">
      <c r="B33" s="216"/>
      <c r="E33" s="222"/>
      <c r="G33" s="216"/>
    </row>
    <row r="34" spans="2:7">
      <c r="B34" s="216"/>
      <c r="E34" s="222"/>
      <c r="G34" s="216"/>
    </row>
    <row r="35" spans="2:7">
      <c r="B35" s="216"/>
      <c r="E35" s="222"/>
      <c r="G35" s="216"/>
    </row>
    <row r="36" spans="2:7">
      <c r="B36" s="216"/>
      <c r="E36" s="222"/>
      <c r="G36" s="216"/>
    </row>
    <row r="37" spans="2:7">
      <c r="B37" s="216"/>
      <c r="E37" s="222"/>
      <c r="G37" s="216"/>
    </row>
    <row r="38" spans="2:7">
      <c r="B38" s="216"/>
      <c r="E38" s="222"/>
      <c r="G38" s="216"/>
    </row>
    <row r="39" spans="2:7">
      <c r="B39" s="216"/>
      <c r="E39" s="222"/>
      <c r="G39" s="216"/>
    </row>
    <row r="40" spans="2:7">
      <c r="B40" s="216"/>
      <c r="E40" s="222"/>
      <c r="G40" s="216"/>
    </row>
    <row r="41" spans="2:7">
      <c r="B41" s="216"/>
      <c r="E41" s="222"/>
      <c r="G41" s="216"/>
    </row>
    <row r="42" spans="2:7">
      <c r="B42" s="216"/>
      <c r="E42" s="222"/>
      <c r="G42" s="216"/>
    </row>
    <row r="43" spans="2:7">
      <c r="B43" s="216"/>
      <c r="E43" s="222"/>
      <c r="G43" s="216"/>
    </row>
    <row r="44" spans="2:7">
      <c r="B44" s="216"/>
      <c r="E44" s="222"/>
      <c r="G44" s="216"/>
    </row>
  </sheetData>
  <mergeCells count="4">
    <mergeCell ref="A1:G1"/>
    <mergeCell ref="A9:A11"/>
    <mergeCell ref="B9:F9"/>
    <mergeCell ref="B10:C11"/>
  </mergeCells>
  <printOptions horizontalCentered="1"/>
  <pageMargins left="0.59055118110236227" right="0" top="0.74803149606299213" bottom="0.74803149606299213" header="0.31496062992125984" footer="0.31496062992125984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C000"/>
  </sheetPr>
  <dimension ref="A1:G25"/>
  <sheetViews>
    <sheetView view="pageBreakPreview" zoomScaleNormal="115" zoomScaleSheetLayoutView="100" workbookViewId="0">
      <selection activeCell="C22" sqref="C22"/>
    </sheetView>
  </sheetViews>
  <sheetFormatPr defaultColWidth="9.109375" defaultRowHeight="13.2"/>
  <cols>
    <col min="1" max="1" width="8.44140625" style="50" customWidth="1"/>
    <col min="2" max="2" width="31.6640625" style="51" bestFit="1" customWidth="1"/>
    <col min="3" max="3" width="30.44140625" style="52" bestFit="1" customWidth="1"/>
    <col min="4" max="4" width="11" style="52" customWidth="1"/>
    <col min="5" max="5" width="23.44140625" style="52" customWidth="1"/>
    <col min="6" max="6" width="11.88671875" style="52" customWidth="1"/>
    <col min="7" max="7" width="11.88671875" style="53" customWidth="1"/>
    <col min="8" max="8" width="12.44140625" style="52" customWidth="1"/>
    <col min="9" max="16384" width="9.109375" style="52"/>
  </cols>
  <sheetData>
    <row r="1" spans="1:7" s="44" customFormat="1" ht="24" customHeight="1">
      <c r="A1" s="353" t="s">
        <v>165</v>
      </c>
      <c r="B1" s="353"/>
      <c r="C1" s="353"/>
      <c r="D1" s="353"/>
      <c r="E1" s="353"/>
      <c r="F1" s="353"/>
      <c r="G1" s="353"/>
    </row>
    <row r="2" spans="1:7" s="45" customFormat="1" ht="37.5" customHeight="1">
      <c r="A2" s="189" t="s">
        <v>166</v>
      </c>
      <c r="B2" s="276" t="s">
        <v>167</v>
      </c>
      <c r="C2" s="190" t="s">
        <v>168</v>
      </c>
      <c r="D2" s="190" t="s">
        <v>169</v>
      </c>
      <c r="E2" s="277" t="s">
        <v>170</v>
      </c>
      <c r="F2" s="278" t="s">
        <v>171</v>
      </c>
      <c r="G2" s="191" t="s">
        <v>172</v>
      </c>
    </row>
    <row r="3" spans="1:7" s="46" customFormat="1" ht="21.75" customHeight="1">
      <c r="A3" s="57">
        <v>1</v>
      </c>
      <c r="B3" s="192" t="s">
        <v>173</v>
      </c>
      <c r="C3" s="57">
        <v>18000</v>
      </c>
      <c r="D3" s="193">
        <v>4</v>
      </c>
      <c r="E3" s="194">
        <f t="shared" ref="E3:E8" si="0">C3*D3/1000</f>
        <v>72</v>
      </c>
      <c r="F3" s="194">
        <v>94</v>
      </c>
      <c r="G3" s="195">
        <f t="shared" ref="G3:G8" si="1">E3*F3</f>
        <v>6768</v>
      </c>
    </row>
    <row r="4" spans="1:7" s="46" customFormat="1" ht="21.75" customHeight="1">
      <c r="A4" s="57">
        <v>2</v>
      </c>
      <c r="B4" s="192" t="s">
        <v>175</v>
      </c>
      <c r="C4" s="57">
        <v>2000</v>
      </c>
      <c r="D4" s="193">
        <v>8</v>
      </c>
      <c r="E4" s="194">
        <f t="shared" si="0"/>
        <v>16</v>
      </c>
      <c r="F4" s="194">
        <v>27.2</v>
      </c>
      <c r="G4" s="195">
        <f t="shared" si="1"/>
        <v>435.2</v>
      </c>
    </row>
    <row r="5" spans="1:7" s="46" customFormat="1" ht="21.75" customHeight="1">
      <c r="A5" s="57">
        <v>3</v>
      </c>
      <c r="B5" s="192" t="s">
        <v>175</v>
      </c>
      <c r="C5" s="57">
        <v>1500</v>
      </c>
      <c r="D5" s="193">
        <v>4</v>
      </c>
      <c r="E5" s="194">
        <f t="shared" si="0"/>
        <v>6</v>
      </c>
      <c r="F5" s="194">
        <v>27.2</v>
      </c>
      <c r="G5" s="195">
        <f t="shared" si="1"/>
        <v>163.19999999999999</v>
      </c>
    </row>
    <row r="6" spans="1:7" s="46" customFormat="1" ht="21.75" customHeight="1">
      <c r="A6" s="57">
        <v>4</v>
      </c>
      <c r="B6" s="192" t="s">
        <v>199</v>
      </c>
      <c r="C6" s="57">
        <v>1000</v>
      </c>
      <c r="D6" s="193">
        <f>1*4</f>
        <v>4</v>
      </c>
      <c r="E6" s="194">
        <f t="shared" si="0"/>
        <v>4</v>
      </c>
      <c r="F6" s="194">
        <v>9.4600000000000009</v>
      </c>
      <c r="G6" s="195">
        <f t="shared" si="1"/>
        <v>37.840000000000003</v>
      </c>
    </row>
    <row r="7" spans="1:7" s="46" customFormat="1" ht="21.75" customHeight="1">
      <c r="A7" s="57">
        <v>5</v>
      </c>
      <c r="B7" s="192" t="s">
        <v>177</v>
      </c>
      <c r="C7" s="57">
        <v>1000</v>
      </c>
      <c r="D7" s="193">
        <f>D6</f>
        <v>4</v>
      </c>
      <c r="E7" s="194">
        <f t="shared" si="0"/>
        <v>4</v>
      </c>
      <c r="F7" s="194">
        <v>15</v>
      </c>
      <c r="G7" s="195">
        <f t="shared" si="1"/>
        <v>60</v>
      </c>
    </row>
    <row r="8" spans="1:7" s="46" customFormat="1" ht="21.75" customHeight="1">
      <c r="A8" s="57">
        <v>6</v>
      </c>
      <c r="B8" s="192" t="s">
        <v>177</v>
      </c>
      <c r="C8" s="57">
        <v>150</v>
      </c>
      <c r="D8" s="193">
        <v>4</v>
      </c>
      <c r="E8" s="194">
        <f t="shared" si="0"/>
        <v>0.6</v>
      </c>
      <c r="F8" s="194">
        <v>15</v>
      </c>
      <c r="G8" s="195">
        <f t="shared" si="1"/>
        <v>9</v>
      </c>
    </row>
    <row r="9" spans="1:7" s="47" customFormat="1" ht="23.25" customHeight="1">
      <c r="A9" s="354"/>
      <c r="B9" s="359" t="s">
        <v>179</v>
      </c>
      <c r="C9" s="360"/>
      <c r="D9" s="360"/>
      <c r="E9" s="360"/>
      <c r="F9" s="361"/>
      <c r="G9" s="196">
        <f>SUM(G3:G8)</f>
        <v>7473.24</v>
      </c>
    </row>
    <row r="10" spans="1:7" s="47" customFormat="1" ht="23.25" customHeight="1">
      <c r="A10" s="355"/>
      <c r="B10" s="362"/>
      <c r="C10" s="363"/>
      <c r="D10" s="197" t="s">
        <v>180</v>
      </c>
      <c r="E10" s="198"/>
      <c r="F10" s="199"/>
      <c r="G10" s="200">
        <f>G3</f>
        <v>6768</v>
      </c>
    </row>
    <row r="11" spans="1:7" s="47" customFormat="1" ht="23.25" customHeight="1">
      <c r="A11" s="358"/>
      <c r="B11" s="364"/>
      <c r="C11" s="365"/>
      <c r="D11" s="279" t="s">
        <v>200</v>
      </c>
      <c r="E11" s="280"/>
      <c r="F11" s="281"/>
      <c r="G11" s="282">
        <f>G9-G10</f>
        <v>705.23999999999978</v>
      </c>
    </row>
    <row r="12" spans="1:7" s="48" customFormat="1" ht="13.8">
      <c r="A12" s="201" t="s">
        <v>183</v>
      </c>
      <c r="B12" s="190" t="s">
        <v>186</v>
      </c>
      <c r="C12" s="190" t="s">
        <v>187</v>
      </c>
      <c r="D12" s="201" t="s">
        <v>13</v>
      </c>
      <c r="E12" s="202" t="s">
        <v>184</v>
      </c>
      <c r="F12" s="203"/>
      <c r="G12" s="203"/>
    </row>
    <row r="13" spans="1:7" s="47" customFormat="1" ht="13.8">
      <c r="A13" s="54">
        <v>1</v>
      </c>
      <c r="B13" s="204" t="s">
        <v>188</v>
      </c>
      <c r="C13" s="204"/>
      <c r="D13" s="205" t="s">
        <v>189</v>
      </c>
      <c r="E13" s="206">
        <v>6</v>
      </c>
      <c r="F13" s="207"/>
      <c r="G13" s="207"/>
    </row>
    <row r="14" spans="1:7" s="49" customFormat="1" ht="14.25" customHeight="1">
      <c r="A14" s="55">
        <v>2</v>
      </c>
      <c r="B14" s="204" t="s">
        <v>191</v>
      </c>
      <c r="C14" s="204"/>
      <c r="D14" s="189" t="s">
        <v>185</v>
      </c>
      <c r="E14" s="208">
        <v>6</v>
      </c>
      <c r="F14" s="209"/>
      <c r="G14" s="209"/>
    </row>
    <row r="15" spans="1:7" s="49" customFormat="1" ht="14.25" customHeight="1">
      <c r="A15" s="54">
        <v>3</v>
      </c>
      <c r="B15" s="204" t="s">
        <v>190</v>
      </c>
      <c r="C15" s="204"/>
      <c r="D15" s="189" t="s">
        <v>10</v>
      </c>
      <c r="E15" s="210">
        <f>SUM(E16:E17)</f>
        <v>7.4732399999999997</v>
      </c>
      <c r="F15" s="209"/>
      <c r="G15" s="209"/>
    </row>
    <row r="16" spans="1:7" s="49" customFormat="1" ht="14.25" customHeight="1">
      <c r="A16" s="56"/>
      <c r="B16" s="223" t="s">
        <v>196</v>
      </c>
      <c r="C16" s="211"/>
      <c r="D16" s="212" t="s">
        <v>10</v>
      </c>
      <c r="E16" s="213">
        <f>G10/1000</f>
        <v>6.7679999999999998</v>
      </c>
      <c r="F16" s="209"/>
      <c r="G16" s="209"/>
    </row>
    <row r="17" spans="1:7" s="49" customFormat="1" ht="14.25" customHeight="1">
      <c r="A17" s="56"/>
      <c r="B17" s="223" t="s">
        <v>181</v>
      </c>
      <c r="C17" s="211"/>
      <c r="D17" s="212" t="s">
        <v>10</v>
      </c>
      <c r="E17" s="213">
        <f>G11/1000</f>
        <v>0.70523999999999976</v>
      </c>
      <c r="F17" s="209"/>
      <c r="G17" s="209"/>
    </row>
    <row r="18" spans="1:7" s="49" customFormat="1" ht="27.6">
      <c r="A18" s="55">
        <v>4</v>
      </c>
      <c r="B18" s="214" t="s">
        <v>192</v>
      </c>
      <c r="C18" s="189" t="s">
        <v>420</v>
      </c>
      <c r="D18" s="189" t="s">
        <v>10</v>
      </c>
      <c r="E18" s="215">
        <f ca="1">Eval(C18)</f>
        <v>1.4450356800000002</v>
      </c>
      <c r="F18" s="209"/>
      <c r="G18" s="209"/>
    </row>
    <row r="19" spans="1:7" ht="27.6">
      <c r="A19" s="54">
        <v>5</v>
      </c>
      <c r="B19" s="214" t="s">
        <v>193</v>
      </c>
      <c r="C19" s="189" t="s">
        <v>421</v>
      </c>
      <c r="D19" s="189" t="s">
        <v>10</v>
      </c>
      <c r="E19" s="215">
        <f ca="1">Eval(C19)</f>
        <v>0.30033000000000004</v>
      </c>
      <c r="F19" s="216"/>
      <c r="G19" s="216"/>
    </row>
    <row r="20" spans="1:7" ht="13.8">
      <c r="A20" s="54">
        <v>7</v>
      </c>
      <c r="B20" s="214" t="s">
        <v>198</v>
      </c>
      <c r="C20" s="189" t="s">
        <v>419</v>
      </c>
      <c r="D20" s="189" t="s">
        <v>10</v>
      </c>
      <c r="E20" s="215">
        <f ca="1">Eval(C20)</f>
        <v>4.2299999999999995</v>
      </c>
      <c r="F20" s="216"/>
      <c r="G20" s="216"/>
    </row>
    <row r="21" spans="1:7" ht="13.8">
      <c r="A21" s="55">
        <v>8</v>
      </c>
      <c r="B21" s="214" t="s">
        <v>194</v>
      </c>
      <c r="C21" s="189" t="s">
        <v>422</v>
      </c>
      <c r="D21" s="189" t="s">
        <v>6</v>
      </c>
      <c r="E21" s="215">
        <f ca="1">Eval(C21)/100</f>
        <v>2.16</v>
      </c>
      <c r="F21" s="216"/>
      <c r="G21" s="216"/>
    </row>
    <row r="22" spans="1:7" ht="13.8">
      <c r="A22" s="54">
        <v>9</v>
      </c>
      <c r="B22" s="214" t="s">
        <v>195</v>
      </c>
      <c r="C22" s="189" t="s">
        <v>422</v>
      </c>
      <c r="D22" s="189" t="s">
        <v>6</v>
      </c>
      <c r="E22" s="215">
        <f t="shared" ref="E22:E23" ca="1" si="2">Eval(C22)/100</f>
        <v>2.16</v>
      </c>
      <c r="F22" s="216"/>
      <c r="G22" s="216"/>
    </row>
    <row r="23" spans="1:7" ht="13.8">
      <c r="A23" s="55">
        <v>10</v>
      </c>
      <c r="B23" s="214" t="s">
        <v>566</v>
      </c>
      <c r="C23" s="189" t="s">
        <v>422</v>
      </c>
      <c r="D23" s="189" t="str">
        <f>D21</f>
        <v>100m</v>
      </c>
      <c r="E23" s="215">
        <f t="shared" ca="1" si="2"/>
        <v>2.16</v>
      </c>
      <c r="F23" s="216"/>
      <c r="G23" s="216"/>
    </row>
    <row r="24" spans="1:7" ht="13.8">
      <c r="A24" s="55">
        <v>11</v>
      </c>
      <c r="B24" s="214" t="s">
        <v>566</v>
      </c>
      <c r="C24" s="189" t="s">
        <v>422</v>
      </c>
      <c r="D24" s="189" t="str">
        <f>D22</f>
        <v>100m</v>
      </c>
      <c r="E24" s="215">
        <f t="shared" ref="E24" ca="1" si="3">Eval(C24)/100</f>
        <v>2.16</v>
      </c>
      <c r="G24" s="52"/>
    </row>
    <row r="25" spans="1:7">
      <c r="A25" s="52"/>
      <c r="B25" s="52"/>
      <c r="G25" s="52"/>
    </row>
  </sheetData>
  <mergeCells count="4">
    <mergeCell ref="A1:G1"/>
    <mergeCell ref="A9:A11"/>
    <mergeCell ref="B9:F9"/>
    <mergeCell ref="B10:C11"/>
  </mergeCells>
  <pageMargins left="0.7" right="0.7" top="0.75" bottom="0.75" header="0.3" footer="0.3"/>
  <pageSetup scale="7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C000"/>
    <pageSetUpPr fitToPage="1"/>
  </sheetPr>
  <dimension ref="A1:S320"/>
  <sheetViews>
    <sheetView view="pageBreakPreview" topLeftCell="C25" zoomScaleNormal="115" zoomScaleSheetLayoutView="100" workbookViewId="0">
      <selection activeCell="G32" sqref="G32"/>
    </sheetView>
  </sheetViews>
  <sheetFormatPr defaultColWidth="9.109375" defaultRowHeight="13.2"/>
  <cols>
    <col min="1" max="1" width="4.33203125" style="1" customWidth="1"/>
    <col min="2" max="2" width="3.6640625" style="1" bestFit="1" customWidth="1"/>
    <col min="3" max="3" width="32.5546875" style="2" bestFit="1" customWidth="1"/>
    <col min="4" max="4" width="17" style="1" bestFit="1" customWidth="1"/>
    <col min="5" max="5" width="24.44140625" style="1" bestFit="1" customWidth="1"/>
    <col min="6" max="6" width="6.5546875" style="2" bestFit="1" customWidth="1"/>
    <col min="7" max="7" width="8.44140625" style="2" customWidth="1"/>
    <col min="8" max="8" width="5.6640625" style="2" customWidth="1"/>
    <col min="9" max="9" width="10.109375" style="35" bestFit="1" customWidth="1"/>
    <col min="10" max="10" width="10.44140625" style="35" customWidth="1"/>
    <col min="11" max="11" width="9.109375" style="2" customWidth="1"/>
    <col min="12" max="12" width="32.33203125" style="2" bestFit="1" customWidth="1"/>
    <col min="13" max="13" width="9.109375" style="2" customWidth="1"/>
    <col min="14" max="16384" width="9.109375" style="2"/>
  </cols>
  <sheetData>
    <row r="1" spans="1:19" ht="59.25" hidden="1" customHeight="1">
      <c r="I1" s="32"/>
      <c r="J1" s="32"/>
      <c r="R1" s="3" t="s">
        <v>13</v>
      </c>
      <c r="S1" s="4" t="s">
        <v>19</v>
      </c>
    </row>
    <row r="2" spans="1:19" s="5" customFormat="1" ht="16.5" hidden="1" customHeight="1">
      <c r="I2" s="32"/>
      <c r="J2" s="32"/>
      <c r="R2" s="6" t="s">
        <v>2</v>
      </c>
      <c r="S2" s="7">
        <v>1</v>
      </c>
    </row>
    <row r="3" spans="1:19" s="5" customFormat="1" ht="16.5" hidden="1" customHeight="1">
      <c r="I3" s="32"/>
      <c r="J3" s="32"/>
      <c r="R3" s="6" t="s">
        <v>0</v>
      </c>
      <c r="S3" s="7">
        <v>1</v>
      </c>
    </row>
    <row r="4" spans="1:19" s="5" customFormat="1" ht="16.5" hidden="1" customHeight="1">
      <c r="I4" s="32"/>
      <c r="J4" s="32"/>
      <c r="R4" s="6" t="s">
        <v>5</v>
      </c>
      <c r="S4" s="7">
        <v>1</v>
      </c>
    </row>
    <row r="5" spans="1:19" ht="16.5" hidden="1" customHeight="1">
      <c r="I5" s="32"/>
      <c r="J5" s="32"/>
      <c r="R5" s="3" t="s">
        <v>6</v>
      </c>
      <c r="S5" s="4">
        <v>0.01</v>
      </c>
    </row>
    <row r="6" spans="1:19" ht="16.5" hidden="1" customHeight="1">
      <c r="I6" s="32"/>
      <c r="J6" s="32"/>
      <c r="R6" s="3" t="s">
        <v>7</v>
      </c>
      <c r="S6" s="4">
        <v>0.01</v>
      </c>
    </row>
    <row r="7" spans="1:19" s="5" customFormat="1" ht="16.5" hidden="1" customHeight="1">
      <c r="I7" s="32"/>
      <c r="J7" s="32"/>
      <c r="R7" s="3" t="s">
        <v>4</v>
      </c>
      <c r="S7" s="4">
        <v>0.01</v>
      </c>
    </row>
    <row r="8" spans="1:19" s="5" customFormat="1" ht="16.5" hidden="1" customHeight="1">
      <c r="I8" s="32"/>
      <c r="J8" s="32"/>
      <c r="R8" s="3" t="s">
        <v>10</v>
      </c>
      <c r="S8" s="4">
        <v>1E-3</v>
      </c>
    </row>
    <row r="9" spans="1:19" ht="16.5" hidden="1" customHeight="1">
      <c r="I9" s="32"/>
      <c r="J9" s="32"/>
      <c r="R9" s="3" t="s">
        <v>156</v>
      </c>
      <c r="S9" s="4">
        <v>1</v>
      </c>
    </row>
    <row r="10" spans="1:19" ht="16.5" hidden="1" customHeight="1">
      <c r="I10" s="32"/>
      <c r="J10" s="32"/>
      <c r="R10" s="3" t="s">
        <v>15</v>
      </c>
      <c r="S10" s="4">
        <v>1</v>
      </c>
    </row>
    <row r="11" spans="1:19" ht="16.5" hidden="1" customHeight="1">
      <c r="I11" s="32"/>
      <c r="J11" s="32"/>
      <c r="R11" s="3" t="s">
        <v>22</v>
      </c>
      <c r="S11" s="4">
        <v>1</v>
      </c>
    </row>
    <row r="12" spans="1:19" ht="16.5" hidden="1" customHeight="1">
      <c r="I12" s="32"/>
      <c r="J12" s="32"/>
      <c r="R12" s="3" t="s">
        <v>23</v>
      </c>
      <c r="S12" s="4">
        <v>1</v>
      </c>
    </row>
    <row r="13" spans="1:19" ht="12.75" hidden="1" customHeight="1">
      <c r="I13" s="32"/>
      <c r="J13" s="32"/>
      <c r="R13" s="3" t="s">
        <v>24</v>
      </c>
      <c r="S13" s="4">
        <v>1</v>
      </c>
    </row>
    <row r="14" spans="1:19" ht="16.5" hidden="1" customHeight="1">
      <c r="I14" s="32"/>
      <c r="J14" s="32"/>
      <c r="R14" s="3" t="s">
        <v>16</v>
      </c>
      <c r="S14" s="4">
        <v>1</v>
      </c>
    </row>
    <row r="15" spans="1:19" ht="16.5" hidden="1" customHeight="1">
      <c r="A15" s="2"/>
      <c r="B15" s="2"/>
      <c r="D15" s="2"/>
      <c r="E15" s="2"/>
      <c r="I15" s="31"/>
      <c r="J15" s="31"/>
      <c r="R15" s="3" t="s">
        <v>21</v>
      </c>
      <c r="S15" s="4">
        <v>1</v>
      </c>
    </row>
    <row r="16" spans="1:19" ht="12.75" hidden="1" customHeight="1">
      <c r="I16" s="32"/>
      <c r="J16" s="32"/>
      <c r="R16" s="3" t="s">
        <v>25</v>
      </c>
      <c r="S16" s="4">
        <v>1</v>
      </c>
    </row>
    <row r="17" spans="1:19" ht="12.75" hidden="1" customHeight="1">
      <c r="I17" s="32"/>
      <c r="J17" s="32"/>
      <c r="R17" s="8" t="s">
        <v>17</v>
      </c>
      <c r="S17" s="9">
        <v>1</v>
      </c>
    </row>
    <row r="18" spans="1:19" ht="12.75" hidden="1" customHeight="1">
      <c r="I18" s="32"/>
      <c r="J18" s="32"/>
      <c r="R18" s="8" t="s">
        <v>26</v>
      </c>
      <c r="S18" s="9">
        <v>1</v>
      </c>
    </row>
    <row r="19" spans="1:19" ht="12.75" hidden="1" customHeight="1">
      <c r="I19" s="32"/>
      <c r="J19" s="32"/>
      <c r="R19" s="3" t="s">
        <v>157</v>
      </c>
      <c r="S19" s="4">
        <v>1</v>
      </c>
    </row>
    <row r="20" spans="1:19" ht="12.75" hidden="1" customHeight="1">
      <c r="A20" s="2"/>
      <c r="B20" s="2"/>
      <c r="D20" s="2"/>
      <c r="E20" s="2"/>
      <c r="I20" s="31"/>
      <c r="J20" s="31"/>
      <c r="R20" s="3"/>
      <c r="S20" s="4"/>
    </row>
    <row r="21" spans="1:19" ht="12.75" hidden="1" customHeight="1">
      <c r="I21" s="32"/>
      <c r="J21" s="32"/>
      <c r="R21" s="3"/>
      <c r="S21" s="4"/>
    </row>
    <row r="22" spans="1:19" ht="12.75" hidden="1" customHeight="1">
      <c r="I22" s="32"/>
      <c r="J22" s="32"/>
      <c r="R22" s="3"/>
      <c r="S22" s="4"/>
    </row>
    <row r="23" spans="1:19" ht="12.75" hidden="1" customHeight="1">
      <c r="A23" s="2"/>
      <c r="B23" s="2"/>
      <c r="D23" s="2"/>
      <c r="E23" s="2"/>
      <c r="I23" s="31"/>
      <c r="J23" s="31"/>
      <c r="K23" s="10"/>
      <c r="L23" s="11"/>
    </row>
    <row r="24" spans="1:19" ht="12.75" hidden="1" customHeight="1">
      <c r="A24" s="2"/>
      <c r="B24" s="2"/>
      <c r="D24" s="2"/>
      <c r="E24" s="2"/>
      <c r="I24" s="31"/>
      <c r="J24" s="31"/>
    </row>
    <row r="25" spans="1:19" ht="12.75" customHeight="1">
      <c r="A25" s="331" t="s">
        <v>147</v>
      </c>
      <c r="B25" s="331"/>
      <c r="C25" s="331"/>
      <c r="D25" s="331"/>
      <c r="E25" s="331"/>
      <c r="F25" s="331"/>
      <c r="G25" s="331"/>
      <c r="H25" s="331"/>
      <c r="I25" s="331"/>
      <c r="J25" s="331"/>
    </row>
    <row r="26" spans="1:19" ht="12.75" hidden="1" customHeight="1">
      <c r="A26" s="332" t="s">
        <v>28</v>
      </c>
      <c r="B26" s="332"/>
      <c r="C26" s="332"/>
      <c r="D26" s="332"/>
      <c r="E26" s="332"/>
      <c r="F26" s="332"/>
      <c r="G26" s="332"/>
      <c r="H26" s="332"/>
      <c r="I26" s="332"/>
      <c r="J26" s="37"/>
    </row>
    <row r="27" spans="1:19" s="12" customFormat="1" ht="12.75" hidden="1" customHeight="1">
      <c r="A27" s="349" t="s">
        <v>29</v>
      </c>
      <c r="B27" s="349"/>
      <c r="C27" s="349"/>
      <c r="D27" s="349"/>
      <c r="E27" s="349"/>
      <c r="F27" s="349"/>
      <c r="G27" s="349"/>
      <c r="H27" s="349"/>
      <c r="I27" s="349"/>
      <c r="J27" s="36"/>
    </row>
    <row r="28" spans="1:19" s="12" customFormat="1" ht="6" customHeight="1">
      <c r="A28" s="350"/>
      <c r="B28" s="350"/>
      <c r="C28" s="350"/>
      <c r="D28" s="350"/>
      <c r="E28" s="350"/>
      <c r="F28" s="350"/>
      <c r="G28" s="350"/>
      <c r="H28" s="350"/>
      <c r="I28" s="350"/>
      <c r="J28" s="40"/>
    </row>
    <row r="29" spans="1:19" s="16" customFormat="1" ht="26.4">
      <c r="A29" s="13" t="s">
        <v>3</v>
      </c>
      <c r="B29" s="14" t="s">
        <v>18</v>
      </c>
      <c r="C29" s="13" t="s">
        <v>11</v>
      </c>
      <c r="D29" s="351" t="s">
        <v>30</v>
      </c>
      <c r="E29" s="352"/>
      <c r="F29" s="13" t="s">
        <v>20</v>
      </c>
      <c r="G29" s="15" t="s">
        <v>31</v>
      </c>
      <c r="H29" s="15" t="s">
        <v>32</v>
      </c>
      <c r="I29" s="33" t="s">
        <v>8</v>
      </c>
      <c r="J29" s="13" t="s">
        <v>9</v>
      </c>
    </row>
    <row r="30" spans="1:19" ht="12.75" customHeight="1">
      <c r="A30" s="38" t="s">
        <v>1</v>
      </c>
      <c r="B30" s="38"/>
      <c r="C30" s="7" t="s">
        <v>363</v>
      </c>
      <c r="D30" s="38"/>
      <c r="E30" s="38"/>
      <c r="F30" s="7"/>
      <c r="G30" s="7"/>
      <c r="H30" s="17"/>
      <c r="I30" s="34">
        <v>37</v>
      </c>
      <c r="J30" s="38" t="s">
        <v>24</v>
      </c>
    </row>
    <row r="31" spans="1:19" ht="12.75" customHeight="1">
      <c r="A31" s="18">
        <f>IF(LEN(B31)=0," ",COUNTA($B$30:B31))</f>
        <v>1</v>
      </c>
      <c r="B31" s="18">
        <v>1</v>
      </c>
      <c r="C31" s="41" t="s">
        <v>148</v>
      </c>
      <c r="D31" s="18"/>
      <c r="E31" s="38"/>
      <c r="F31" s="4"/>
      <c r="G31" s="4"/>
      <c r="H31" s="29"/>
      <c r="I31" s="34">
        <f ca="1">SUM(I32:I34)</f>
        <v>2.5487461100000002</v>
      </c>
      <c r="J31" s="18" t="s">
        <v>10</v>
      </c>
    </row>
    <row r="32" spans="1:19" ht="12.75" customHeight="1">
      <c r="A32" s="18"/>
      <c r="B32" s="18"/>
      <c r="C32" s="42" t="s">
        <v>149</v>
      </c>
      <c r="D32" s="18" t="s">
        <v>357</v>
      </c>
      <c r="E32" s="20" t="s">
        <v>160</v>
      </c>
      <c r="F32" s="4">
        <f t="shared" ref="F32" si="0">VLOOKUP(J32,$R$2:$S$22,2,0)</f>
        <v>1E-3</v>
      </c>
      <c r="G32" s="23">
        <f ca="1">Eval(E32)*F32</f>
        <v>5.1810000000000002E-2</v>
      </c>
      <c r="H32" s="29">
        <v>37</v>
      </c>
      <c r="I32" s="34">
        <f ca="1">G32*H32</f>
        <v>1.9169700000000001</v>
      </c>
      <c r="J32" s="18" t="s">
        <v>10</v>
      </c>
      <c r="N32" s="31"/>
    </row>
    <row r="33" spans="1:13" ht="12.75" customHeight="1">
      <c r="A33" s="18"/>
      <c r="B33" s="18"/>
      <c r="C33" s="42" t="s">
        <v>150</v>
      </c>
      <c r="D33" s="18" t="s">
        <v>158</v>
      </c>
      <c r="E33" s="20" t="s">
        <v>161</v>
      </c>
      <c r="F33" s="4">
        <f t="shared" ref="F33" si="1">VLOOKUP(J33,$R$2:$S$22,2,0)</f>
        <v>1E-3</v>
      </c>
      <c r="G33" s="23">
        <f t="shared" ref="G33:G56" ca="1" si="2">Eval(E33)*F33</f>
        <v>1.7073750000000002E-2</v>
      </c>
      <c r="H33" s="29">
        <v>37</v>
      </c>
      <c r="I33" s="34">
        <f t="shared" ref="I33:I38" ca="1" si="3">G33*H33</f>
        <v>0.63172875000000006</v>
      </c>
      <c r="J33" s="18" t="s">
        <v>10</v>
      </c>
    </row>
    <row r="34" spans="1:13" ht="12.75" customHeight="1">
      <c r="A34" s="18"/>
      <c r="B34" s="18"/>
      <c r="C34" s="43" t="s">
        <v>151</v>
      </c>
      <c r="D34" s="18" t="s">
        <v>159</v>
      </c>
      <c r="E34" s="18" t="s">
        <v>162</v>
      </c>
      <c r="F34" s="4">
        <f t="shared" ref="F34:F37" si="4">VLOOKUP(J34,$R$2:$S$22,2,0)</f>
        <v>1E-3</v>
      </c>
      <c r="G34" s="23">
        <f t="shared" ca="1" si="2"/>
        <v>1.2800000000000005E-6</v>
      </c>
      <c r="H34" s="29">
        <v>37</v>
      </c>
      <c r="I34" s="34">
        <f t="shared" ca="1" si="3"/>
        <v>4.7360000000000014E-5</v>
      </c>
      <c r="J34" s="18" t="s">
        <v>10</v>
      </c>
    </row>
    <row r="35" spans="1:13" s="5" customFormat="1" ht="12.75" customHeight="1">
      <c r="A35" s="18">
        <f>IF(LEN(B35)=0," ",COUNTA($B$30:B35))</f>
        <v>2</v>
      </c>
      <c r="B35" s="18">
        <v>2</v>
      </c>
      <c r="C35" s="41" t="s">
        <v>154</v>
      </c>
      <c r="D35" s="72" t="s">
        <v>358</v>
      </c>
      <c r="E35" s="24" t="s">
        <v>359</v>
      </c>
      <c r="F35" s="4">
        <f t="shared" si="4"/>
        <v>1E-3</v>
      </c>
      <c r="G35" s="23">
        <f t="shared" ca="1" si="2"/>
        <v>6.5939999999999999E-2</v>
      </c>
      <c r="H35" s="29">
        <v>37</v>
      </c>
      <c r="I35" s="34">
        <f t="shared" ca="1" si="3"/>
        <v>2.4397799999999998</v>
      </c>
      <c r="J35" s="18" t="s">
        <v>10</v>
      </c>
      <c r="L35" s="366"/>
      <c r="M35" s="366"/>
    </row>
    <row r="36" spans="1:13" ht="12.75" customHeight="1">
      <c r="A36" s="18">
        <f>IF(LEN(B36)=0," ",COUNTA($B$30:B36))</f>
        <v>3</v>
      </c>
      <c r="B36" s="18">
        <v>3</v>
      </c>
      <c r="C36" s="41" t="s">
        <v>155</v>
      </c>
      <c r="D36" s="72" t="s">
        <v>360</v>
      </c>
      <c r="E36" s="24" t="s">
        <v>361</v>
      </c>
      <c r="F36" s="4">
        <f t="shared" ref="F36" si="5">VLOOKUP(J36,$R$2:$S$22,2,0)</f>
        <v>1E-3</v>
      </c>
      <c r="G36" s="23">
        <f t="shared" ca="1" si="2"/>
        <v>8.4780000000000008E-2</v>
      </c>
      <c r="H36" s="29">
        <v>37</v>
      </c>
      <c r="I36" s="34">
        <f t="shared" ca="1" si="3"/>
        <v>3.1368600000000004</v>
      </c>
      <c r="J36" s="18" t="s">
        <v>10</v>
      </c>
      <c r="K36" s="2">
        <v>1</v>
      </c>
    </row>
    <row r="37" spans="1:13" ht="12.75" customHeight="1">
      <c r="A37" s="18">
        <f>IF(LEN(B37)=0," ",COUNTA($B$30:B37))</f>
        <v>4</v>
      </c>
      <c r="B37" s="18">
        <v>4</v>
      </c>
      <c r="C37" s="41" t="s">
        <v>152</v>
      </c>
      <c r="D37" s="18" t="s">
        <v>362</v>
      </c>
      <c r="E37" s="24" t="s">
        <v>573</v>
      </c>
      <c r="F37" s="4">
        <f t="shared" si="4"/>
        <v>1</v>
      </c>
      <c r="G37" s="23">
        <f t="shared" ca="1" si="2"/>
        <v>355.20000000000005</v>
      </c>
      <c r="H37" s="29">
        <v>1</v>
      </c>
      <c r="I37" s="34">
        <f t="shared" ca="1" si="3"/>
        <v>355.20000000000005</v>
      </c>
      <c r="J37" s="18" t="s">
        <v>0</v>
      </c>
      <c r="K37" s="2">
        <v>2</v>
      </c>
    </row>
    <row r="38" spans="1:13" ht="12.75" customHeight="1">
      <c r="A38" s="18">
        <f>IF(LEN(B38)=0," ",COUNTA($B$30:B38))</f>
        <v>5</v>
      </c>
      <c r="B38" s="18">
        <v>5</v>
      </c>
      <c r="C38" s="41" t="s">
        <v>153</v>
      </c>
      <c r="D38" s="20" t="s">
        <v>163</v>
      </c>
      <c r="E38" s="20" t="s">
        <v>164</v>
      </c>
      <c r="F38" s="4">
        <f t="shared" ref="F38" si="6">VLOOKUP(J38,$R$2:$S$22,2,0)</f>
        <v>1</v>
      </c>
      <c r="G38" s="23">
        <f t="shared" ca="1" si="2"/>
        <v>20</v>
      </c>
      <c r="H38" s="29">
        <v>37</v>
      </c>
      <c r="I38" s="34">
        <f t="shared" ca="1" si="3"/>
        <v>740</v>
      </c>
      <c r="J38" s="18" t="s">
        <v>156</v>
      </c>
      <c r="K38" s="2">
        <v>3</v>
      </c>
    </row>
    <row r="39" spans="1:13" ht="12.75" customHeight="1">
      <c r="A39" s="39" t="s">
        <v>1</v>
      </c>
      <c r="B39" s="39"/>
      <c r="C39" s="7" t="s">
        <v>568</v>
      </c>
      <c r="D39" s="39"/>
      <c r="E39" s="39"/>
      <c r="F39" s="7"/>
      <c r="G39" s="23"/>
      <c r="H39" s="17"/>
      <c r="I39" s="34">
        <v>1</v>
      </c>
      <c r="J39" s="39" t="s">
        <v>24</v>
      </c>
      <c r="K39" s="2">
        <v>4</v>
      </c>
    </row>
    <row r="40" spans="1:13" ht="12.75" customHeight="1">
      <c r="A40" s="18">
        <f>IF(LEN(B40)=0," ",COUNTA($B$30:B40))</f>
        <v>6</v>
      </c>
      <c r="B40" s="18">
        <v>1</v>
      </c>
      <c r="C40" s="41" t="s">
        <v>148</v>
      </c>
      <c r="D40" s="18"/>
      <c r="E40" s="39"/>
      <c r="F40" s="4"/>
      <c r="G40" s="23"/>
      <c r="H40" s="29"/>
      <c r="I40" s="34">
        <f ca="1">SUM(I41:I43)</f>
        <v>6.8885030000000014E-2</v>
      </c>
      <c r="J40" s="18" t="s">
        <v>10</v>
      </c>
      <c r="K40" s="2">
        <v>5</v>
      </c>
    </row>
    <row r="41" spans="1:13" ht="12.75" customHeight="1">
      <c r="A41" s="18"/>
      <c r="B41" s="18"/>
      <c r="C41" s="42" t="s">
        <v>149</v>
      </c>
      <c r="D41" s="18" t="s">
        <v>569</v>
      </c>
      <c r="E41" s="20" t="s">
        <v>160</v>
      </c>
      <c r="F41" s="4">
        <f t="shared" ref="F41:F47" si="7">VLOOKUP(J41,$R$2:$S$22,2,0)</f>
        <v>1E-3</v>
      </c>
      <c r="G41" s="23">
        <f t="shared" ca="1" si="2"/>
        <v>5.1810000000000002E-2</v>
      </c>
      <c r="H41" s="29">
        <f>$I$39</f>
        <v>1</v>
      </c>
      <c r="I41" s="34">
        <f ca="1">G41 *H41</f>
        <v>5.1810000000000002E-2</v>
      </c>
      <c r="J41" s="18" t="s">
        <v>10</v>
      </c>
    </row>
    <row r="42" spans="1:13" ht="12.75" customHeight="1">
      <c r="A42" s="18"/>
      <c r="B42" s="18"/>
      <c r="C42" s="42" t="s">
        <v>150</v>
      </c>
      <c r="D42" s="18" t="s">
        <v>399</v>
      </c>
      <c r="E42" s="20" t="s">
        <v>161</v>
      </c>
      <c r="F42" s="4">
        <f t="shared" si="7"/>
        <v>1E-3</v>
      </c>
      <c r="G42" s="23">
        <f t="shared" ca="1" si="2"/>
        <v>1.7073750000000002E-2</v>
      </c>
      <c r="H42" s="29">
        <f t="shared" ref="H42:H47" si="8">$I$39</f>
        <v>1</v>
      </c>
      <c r="I42" s="34">
        <f t="shared" ref="I42:I47" ca="1" si="9">G42 *H42</f>
        <v>1.7073750000000002E-2</v>
      </c>
      <c r="J42" s="18" t="s">
        <v>10</v>
      </c>
    </row>
    <row r="43" spans="1:13" ht="12.75" customHeight="1">
      <c r="A43" s="18"/>
      <c r="B43" s="18"/>
      <c r="C43" s="43" t="s">
        <v>151</v>
      </c>
      <c r="D43" s="18" t="s">
        <v>400</v>
      </c>
      <c r="E43" s="18" t="s">
        <v>162</v>
      </c>
      <c r="F43" s="4">
        <f t="shared" si="7"/>
        <v>1E-3</v>
      </c>
      <c r="G43" s="23">
        <f t="shared" ca="1" si="2"/>
        <v>1.2800000000000005E-6</v>
      </c>
      <c r="H43" s="29">
        <f t="shared" si="8"/>
        <v>1</v>
      </c>
      <c r="I43" s="34">
        <f t="shared" ca="1" si="9"/>
        <v>1.2800000000000005E-6</v>
      </c>
      <c r="J43" s="18" t="s">
        <v>10</v>
      </c>
    </row>
    <row r="44" spans="1:13" ht="12.75" customHeight="1">
      <c r="A44" s="18">
        <f>IF(LEN(B44)=0," ",COUNTA($B$30:B44))</f>
        <v>7</v>
      </c>
      <c r="B44" s="18">
        <v>2</v>
      </c>
      <c r="C44" s="41" t="s">
        <v>154</v>
      </c>
      <c r="D44" s="72" t="s">
        <v>358</v>
      </c>
      <c r="E44" s="24" t="s">
        <v>570</v>
      </c>
      <c r="F44" s="4">
        <f t="shared" si="7"/>
        <v>1E-3</v>
      </c>
      <c r="G44" s="23">
        <f t="shared" ca="1" si="2"/>
        <v>6.2643000000000004E-2</v>
      </c>
      <c r="H44" s="29">
        <f t="shared" si="8"/>
        <v>1</v>
      </c>
      <c r="I44" s="34">
        <f t="shared" ca="1" si="9"/>
        <v>6.2643000000000004E-2</v>
      </c>
      <c r="J44" s="18" t="s">
        <v>10</v>
      </c>
    </row>
    <row r="45" spans="1:13" ht="12.75" customHeight="1">
      <c r="A45" s="18">
        <f>IF(LEN(B45)=0," ",COUNTA($B$30:B45))</f>
        <v>8</v>
      </c>
      <c r="B45" s="18">
        <v>3</v>
      </c>
      <c r="C45" s="41" t="s">
        <v>155</v>
      </c>
      <c r="D45" s="72" t="s">
        <v>360</v>
      </c>
      <c r="E45" s="24" t="s">
        <v>571</v>
      </c>
      <c r="F45" s="4">
        <f t="shared" si="7"/>
        <v>1E-3</v>
      </c>
      <c r="G45" s="23">
        <f t="shared" ca="1" si="2"/>
        <v>8.0541000000000001E-2</v>
      </c>
      <c r="H45" s="29">
        <f t="shared" si="8"/>
        <v>1</v>
      </c>
      <c r="I45" s="34">
        <f t="shared" ca="1" si="9"/>
        <v>8.0541000000000001E-2</v>
      </c>
      <c r="J45" s="18" t="s">
        <v>10</v>
      </c>
    </row>
    <row r="46" spans="1:13" ht="12.75" customHeight="1">
      <c r="A46" s="18">
        <f>IF(LEN(B46)=0," ",COUNTA($B$30:B46))</f>
        <v>9</v>
      </c>
      <c r="B46" s="18">
        <v>4</v>
      </c>
      <c r="C46" s="41" t="s">
        <v>152</v>
      </c>
      <c r="D46" s="18" t="s">
        <v>362</v>
      </c>
      <c r="E46" s="24" t="s">
        <v>572</v>
      </c>
      <c r="F46" s="4">
        <f t="shared" si="7"/>
        <v>1</v>
      </c>
      <c r="G46" s="23">
        <f t="shared" ca="1" si="2"/>
        <v>9.120000000000001</v>
      </c>
      <c r="H46" s="29">
        <f t="shared" si="8"/>
        <v>1</v>
      </c>
      <c r="I46" s="34">
        <f t="shared" ca="1" si="9"/>
        <v>9.120000000000001</v>
      </c>
      <c r="J46" s="18" t="s">
        <v>0</v>
      </c>
    </row>
    <row r="47" spans="1:13" ht="12.75" customHeight="1">
      <c r="A47" s="18">
        <f>IF(LEN(B47)=0," ",COUNTA($B$30:B47))</f>
        <v>10</v>
      </c>
      <c r="B47" s="18">
        <v>5</v>
      </c>
      <c r="C47" s="41" t="s">
        <v>153</v>
      </c>
      <c r="D47" s="20" t="s">
        <v>163</v>
      </c>
      <c r="E47" s="20" t="s">
        <v>164</v>
      </c>
      <c r="F47" s="4">
        <f t="shared" si="7"/>
        <v>1</v>
      </c>
      <c r="G47" s="23">
        <f t="shared" ca="1" si="2"/>
        <v>20</v>
      </c>
      <c r="H47" s="29">
        <f t="shared" si="8"/>
        <v>1</v>
      </c>
      <c r="I47" s="34">
        <f t="shared" ca="1" si="9"/>
        <v>20</v>
      </c>
      <c r="J47" s="18" t="s">
        <v>156</v>
      </c>
    </row>
    <row r="48" spans="1:13" ht="12.75" customHeight="1">
      <c r="A48" s="39" t="s">
        <v>1</v>
      </c>
      <c r="B48" s="39"/>
      <c r="C48" s="7" t="s">
        <v>545</v>
      </c>
      <c r="D48" s="39"/>
      <c r="E48" s="39"/>
      <c r="F48" s="7"/>
      <c r="G48" s="23"/>
      <c r="H48" s="17"/>
      <c r="I48" s="34">
        <v>1</v>
      </c>
      <c r="J48" s="39" t="s">
        <v>24</v>
      </c>
    </row>
    <row r="49" spans="1:10" ht="12.75" customHeight="1">
      <c r="A49" s="18">
        <f>IF(LEN(B49)=0," ",COUNTA($B$30:B49))</f>
        <v>11</v>
      </c>
      <c r="B49" s="18">
        <v>1</v>
      </c>
      <c r="C49" s="41" t="s">
        <v>148</v>
      </c>
      <c r="D49" s="18"/>
      <c r="E49" s="39"/>
      <c r="F49" s="4"/>
      <c r="G49" s="23"/>
      <c r="H49" s="29"/>
      <c r="I49" s="34">
        <f ca="1">SUM(I50:I52)</f>
        <v>6.8885030000000014E-2</v>
      </c>
      <c r="J49" s="18" t="s">
        <v>10</v>
      </c>
    </row>
    <row r="50" spans="1:10" ht="12.75" customHeight="1">
      <c r="A50" s="18"/>
      <c r="B50" s="18"/>
      <c r="C50" s="42" t="s">
        <v>149</v>
      </c>
      <c r="D50" s="18" t="s">
        <v>398</v>
      </c>
      <c r="E50" s="20" t="s">
        <v>160</v>
      </c>
      <c r="F50" s="4">
        <f t="shared" ref="F50:F56" si="10">VLOOKUP(J50,$R$2:$S$22,2,0)</f>
        <v>1E-3</v>
      </c>
      <c r="G50" s="23">
        <f t="shared" ca="1" si="2"/>
        <v>5.1810000000000002E-2</v>
      </c>
      <c r="H50" s="29">
        <f>$I$39</f>
        <v>1</v>
      </c>
      <c r="I50" s="34">
        <f ca="1">G50*H50</f>
        <v>5.1810000000000002E-2</v>
      </c>
      <c r="J50" s="18" t="s">
        <v>10</v>
      </c>
    </row>
    <row r="51" spans="1:10">
      <c r="A51" s="18"/>
      <c r="B51" s="18"/>
      <c r="C51" s="42" t="s">
        <v>150</v>
      </c>
      <c r="D51" s="18" t="s">
        <v>399</v>
      </c>
      <c r="E51" s="20" t="s">
        <v>161</v>
      </c>
      <c r="F51" s="4">
        <f t="shared" si="10"/>
        <v>1E-3</v>
      </c>
      <c r="G51" s="23">
        <f t="shared" ca="1" si="2"/>
        <v>1.7073750000000002E-2</v>
      </c>
      <c r="H51" s="29">
        <f t="shared" ref="H51:H56" si="11">$I$39</f>
        <v>1</v>
      </c>
      <c r="I51" s="34">
        <f t="shared" ref="I51:I56" ca="1" si="12">G51*H51</f>
        <v>1.7073750000000002E-2</v>
      </c>
      <c r="J51" s="18" t="s">
        <v>10</v>
      </c>
    </row>
    <row r="52" spans="1:10">
      <c r="A52" s="18"/>
      <c r="B52" s="18"/>
      <c r="C52" s="43" t="s">
        <v>151</v>
      </c>
      <c r="D52" s="18" t="s">
        <v>400</v>
      </c>
      <c r="E52" s="18" t="s">
        <v>162</v>
      </c>
      <c r="F52" s="4">
        <f t="shared" si="10"/>
        <v>1E-3</v>
      </c>
      <c r="G52" s="23">
        <f t="shared" ca="1" si="2"/>
        <v>1.2800000000000005E-6</v>
      </c>
      <c r="H52" s="29">
        <f t="shared" si="11"/>
        <v>1</v>
      </c>
      <c r="I52" s="34">
        <f t="shared" ca="1" si="12"/>
        <v>1.2800000000000005E-6</v>
      </c>
      <c r="J52" s="18" t="s">
        <v>10</v>
      </c>
    </row>
    <row r="53" spans="1:10">
      <c r="A53" s="18">
        <f>IF(LEN(B53)=0," ",COUNTA($B$30:B53))</f>
        <v>12</v>
      </c>
      <c r="B53" s="18">
        <v>2</v>
      </c>
      <c r="C53" s="41" t="s">
        <v>154</v>
      </c>
      <c r="D53" s="72" t="s">
        <v>358</v>
      </c>
      <c r="E53" s="24" t="s">
        <v>546</v>
      </c>
      <c r="F53" s="4">
        <f t="shared" si="10"/>
        <v>1E-3</v>
      </c>
      <c r="G53" s="23">
        <f t="shared" ca="1" si="2"/>
        <v>5.9895500000000004E-2</v>
      </c>
      <c r="H53" s="29">
        <f t="shared" si="11"/>
        <v>1</v>
      </c>
      <c r="I53" s="34">
        <f t="shared" ca="1" si="12"/>
        <v>5.9895500000000004E-2</v>
      </c>
      <c r="J53" s="18" t="s">
        <v>10</v>
      </c>
    </row>
    <row r="54" spans="1:10" ht="12.75" customHeight="1">
      <c r="A54" s="18">
        <f>IF(LEN(B54)=0," ",COUNTA($B$30:B54))</f>
        <v>13</v>
      </c>
      <c r="B54" s="18">
        <v>3</v>
      </c>
      <c r="C54" s="41" t="s">
        <v>155</v>
      </c>
      <c r="D54" s="72" t="s">
        <v>360</v>
      </c>
      <c r="E54" s="24" t="s">
        <v>547</v>
      </c>
      <c r="F54" s="4">
        <f t="shared" si="10"/>
        <v>1E-3</v>
      </c>
      <c r="G54" s="23">
        <f t="shared" ca="1" si="2"/>
        <v>7.7008499999999994E-2</v>
      </c>
      <c r="H54" s="29">
        <f t="shared" si="11"/>
        <v>1</v>
      </c>
      <c r="I54" s="34">
        <f t="shared" ca="1" si="12"/>
        <v>7.7008499999999994E-2</v>
      </c>
      <c r="J54" s="18" t="s">
        <v>10</v>
      </c>
    </row>
    <row r="55" spans="1:10" ht="12.75" customHeight="1">
      <c r="A55" s="18">
        <f>IF(LEN(B55)=0," ",COUNTA($B$30:B55))</f>
        <v>14</v>
      </c>
      <c r="B55" s="18">
        <v>4</v>
      </c>
      <c r="C55" s="41" t="s">
        <v>152</v>
      </c>
      <c r="D55" s="18" t="s">
        <v>362</v>
      </c>
      <c r="E55" s="24" t="s">
        <v>548</v>
      </c>
      <c r="F55" s="4">
        <f t="shared" si="10"/>
        <v>1</v>
      </c>
      <c r="G55" s="23">
        <f t="shared" ca="1" si="2"/>
        <v>8.7200000000000006</v>
      </c>
      <c r="H55" s="29">
        <f t="shared" si="11"/>
        <v>1</v>
      </c>
      <c r="I55" s="34">
        <f t="shared" ca="1" si="12"/>
        <v>8.7200000000000006</v>
      </c>
      <c r="J55" s="18" t="s">
        <v>0</v>
      </c>
    </row>
    <row r="56" spans="1:10" ht="12.75" customHeight="1">
      <c r="A56" s="18">
        <f>IF(LEN(B56)=0," ",COUNTA($B$30:B56))</f>
        <v>15</v>
      </c>
      <c r="B56" s="18">
        <v>5</v>
      </c>
      <c r="C56" s="41" t="s">
        <v>153</v>
      </c>
      <c r="D56" s="20" t="s">
        <v>163</v>
      </c>
      <c r="E56" s="20" t="s">
        <v>164</v>
      </c>
      <c r="F56" s="4">
        <f t="shared" si="10"/>
        <v>1</v>
      </c>
      <c r="G56" s="23">
        <f t="shared" ca="1" si="2"/>
        <v>20</v>
      </c>
      <c r="H56" s="29">
        <f t="shared" si="11"/>
        <v>1</v>
      </c>
      <c r="I56" s="34">
        <f t="shared" ca="1" si="12"/>
        <v>20</v>
      </c>
      <c r="J56" s="18" t="s">
        <v>156</v>
      </c>
    </row>
    <row r="57" spans="1:10" ht="12.75" customHeight="1">
      <c r="A57" s="2"/>
      <c r="B57" s="2"/>
      <c r="D57" s="2"/>
      <c r="E57" s="2"/>
      <c r="I57" s="2"/>
      <c r="J57" s="2"/>
    </row>
    <row r="58" spans="1:10" s="5" customFormat="1" ht="12.75" customHeight="1">
      <c r="A58" s="2"/>
      <c r="B58" s="2"/>
      <c r="C58" s="366" t="s">
        <v>146</v>
      </c>
      <c r="D58" s="366"/>
      <c r="E58" s="366"/>
      <c r="F58" s="2"/>
      <c r="G58" s="2"/>
      <c r="H58" s="2"/>
      <c r="I58" s="2"/>
      <c r="J58" s="2"/>
    </row>
    <row r="59" spans="1:10" ht="12.75" customHeight="1">
      <c r="A59" s="2"/>
      <c r="B59" s="2"/>
      <c r="C59" s="41" t="s">
        <v>148</v>
      </c>
      <c r="D59" s="130">
        <f ca="1">SUM(I31,I40,I49)</f>
        <v>2.6865161700000004</v>
      </c>
      <c r="E59" s="130" t="s">
        <v>10</v>
      </c>
      <c r="I59" s="2"/>
      <c r="J59" s="2"/>
    </row>
    <row r="60" spans="1:10" ht="12.75" customHeight="1">
      <c r="A60" s="2"/>
      <c r="B60" s="2"/>
      <c r="C60" s="41" t="s">
        <v>154</v>
      </c>
      <c r="D60" s="130">
        <f ca="1">SUM(I35,I44,I53)</f>
        <v>2.5623184999999999</v>
      </c>
      <c r="E60" s="130" t="s">
        <v>10</v>
      </c>
      <c r="I60" s="2"/>
      <c r="J60" s="2"/>
    </row>
    <row r="61" spans="1:10" ht="12.75" customHeight="1">
      <c r="A61" s="2"/>
      <c r="B61" s="2"/>
      <c r="C61" s="41" t="s">
        <v>155</v>
      </c>
      <c r="D61" s="130">
        <f ca="1">SUM(I36,I45,I54)</f>
        <v>3.2944095000000004</v>
      </c>
      <c r="E61" s="130" t="s">
        <v>10</v>
      </c>
      <c r="I61" s="2"/>
      <c r="J61" s="2"/>
    </row>
    <row r="62" spans="1:10" ht="12.75" customHeight="1">
      <c r="A62" s="2"/>
      <c r="B62" s="2"/>
      <c r="C62" s="41" t="s">
        <v>152</v>
      </c>
      <c r="D62" s="130">
        <f ca="1">SUM(I46,I37,I55)</f>
        <v>373.04000000000008</v>
      </c>
      <c r="E62" s="130" t="s">
        <v>0</v>
      </c>
      <c r="I62" s="2"/>
      <c r="J62" s="2"/>
    </row>
    <row r="63" spans="1:10" ht="12.75" customHeight="1">
      <c r="A63" s="2"/>
      <c r="B63" s="2"/>
      <c r="C63" s="41" t="s">
        <v>153</v>
      </c>
      <c r="D63" s="130">
        <f ca="1">SUM(I38,I47,I56)</f>
        <v>780</v>
      </c>
      <c r="E63" s="130" t="s">
        <v>156</v>
      </c>
      <c r="I63" s="2"/>
      <c r="J63" s="2"/>
    </row>
    <row r="64" spans="1:10" ht="12.75" customHeight="1">
      <c r="A64" s="2"/>
      <c r="B64" s="2"/>
      <c r="D64" s="2"/>
      <c r="E64" s="2"/>
      <c r="I64" s="2"/>
      <c r="J64" s="2"/>
    </row>
    <row r="65" spans="1:10" ht="12.75" customHeight="1">
      <c r="A65" s="2"/>
      <c r="B65" s="2"/>
      <c r="D65" s="2"/>
      <c r="E65" s="2"/>
      <c r="I65" s="2"/>
      <c r="J65" s="2"/>
    </row>
    <row r="66" spans="1:10" ht="12.75" customHeight="1">
      <c r="A66" s="2"/>
      <c r="B66" s="2"/>
      <c r="D66" s="2"/>
      <c r="E66" s="2"/>
      <c r="I66" s="2"/>
      <c r="J66" s="2"/>
    </row>
    <row r="67" spans="1:10" ht="12.75" customHeight="1">
      <c r="A67" s="2"/>
      <c r="B67" s="2"/>
      <c r="D67" s="2"/>
      <c r="E67" s="2"/>
      <c r="I67" s="2"/>
      <c r="J67" s="2"/>
    </row>
    <row r="68" spans="1:10" ht="12.75" customHeight="1">
      <c r="A68" s="2"/>
      <c r="B68" s="2"/>
      <c r="D68" s="2"/>
      <c r="E68" s="2"/>
      <c r="I68" s="2"/>
      <c r="J68" s="2"/>
    </row>
    <row r="69" spans="1:10" ht="12.75" customHeight="1">
      <c r="A69" s="2"/>
      <c r="B69" s="2"/>
      <c r="D69" s="2"/>
      <c r="E69" s="2"/>
      <c r="I69" s="2"/>
      <c r="J69" s="2"/>
    </row>
    <row r="70" spans="1:10" ht="12.75" customHeight="1">
      <c r="A70" s="2"/>
      <c r="B70" s="2"/>
      <c r="D70" s="2"/>
      <c r="E70" s="2"/>
      <c r="I70" s="2"/>
      <c r="J70" s="2"/>
    </row>
    <row r="71" spans="1:10" ht="12.75" customHeight="1">
      <c r="A71" s="2"/>
      <c r="B71" s="2"/>
      <c r="D71" s="2"/>
      <c r="E71" s="2"/>
      <c r="I71" s="2"/>
      <c r="J71" s="2"/>
    </row>
    <row r="72" spans="1:10" ht="12.75" customHeight="1">
      <c r="A72" s="2"/>
      <c r="B72" s="2"/>
      <c r="D72" s="2"/>
      <c r="E72" s="2"/>
      <c r="I72" s="2"/>
      <c r="J72" s="2"/>
    </row>
    <row r="73" spans="1:10" ht="12.75" customHeight="1">
      <c r="A73" s="2"/>
      <c r="B73" s="2"/>
      <c r="D73" s="2"/>
      <c r="E73" s="2"/>
      <c r="I73" s="2"/>
      <c r="J73" s="2"/>
    </row>
    <row r="74" spans="1:10">
      <c r="A74" s="2"/>
      <c r="B74" s="2"/>
      <c r="D74" s="2"/>
      <c r="E74" s="2"/>
      <c r="I74" s="2"/>
      <c r="J74" s="2"/>
    </row>
    <row r="75" spans="1:10">
      <c r="A75" s="5"/>
      <c r="B75" s="5"/>
      <c r="C75" s="5"/>
      <c r="D75" s="5"/>
      <c r="E75" s="5"/>
      <c r="F75" s="5"/>
      <c r="G75" s="5"/>
      <c r="H75" s="5"/>
      <c r="I75" s="5"/>
      <c r="J75" s="5"/>
    </row>
    <row r="76" spans="1:10">
      <c r="A76" s="2"/>
      <c r="B76" s="2"/>
      <c r="D76" s="2"/>
      <c r="E76" s="2"/>
      <c r="I76" s="2"/>
      <c r="J76" s="2"/>
    </row>
    <row r="77" spans="1:10" ht="12.75" customHeight="1">
      <c r="A77" s="2"/>
      <c r="B77" s="2"/>
      <c r="D77" s="2"/>
      <c r="E77" s="2"/>
      <c r="I77" s="2"/>
      <c r="J77" s="2"/>
    </row>
    <row r="78" spans="1:10" ht="12.75" customHeight="1">
      <c r="A78" s="2"/>
      <c r="B78" s="2"/>
      <c r="D78" s="2"/>
      <c r="E78" s="2"/>
      <c r="I78" s="2"/>
      <c r="J78" s="2"/>
    </row>
    <row r="79" spans="1:10" ht="12.75" customHeight="1">
      <c r="A79" s="2"/>
      <c r="B79" s="2"/>
      <c r="D79" s="2"/>
      <c r="E79" s="2"/>
      <c r="I79" s="2"/>
      <c r="J79" s="2"/>
    </row>
    <row r="80" spans="1:10" ht="12.75" customHeight="1">
      <c r="A80" s="2"/>
      <c r="B80" s="2"/>
      <c r="D80" s="2"/>
      <c r="E80" s="2"/>
      <c r="I80" s="2"/>
      <c r="J80" s="2"/>
    </row>
    <row r="81" spans="1:10" s="5" customFormat="1" ht="12.75" customHeight="1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ht="12.75" customHeight="1">
      <c r="A82" s="2"/>
      <c r="B82" s="2"/>
      <c r="D82" s="2"/>
      <c r="E82" s="2"/>
      <c r="I82" s="2"/>
      <c r="J82" s="2"/>
    </row>
    <row r="83" spans="1:10" ht="12.75" customHeight="1">
      <c r="A83" s="2"/>
      <c r="B83" s="2"/>
      <c r="D83" s="2"/>
      <c r="E83" s="2"/>
      <c r="I83" s="2"/>
      <c r="J83" s="2"/>
    </row>
    <row r="84" spans="1:10" ht="12.75" customHeight="1">
      <c r="A84" s="2"/>
      <c r="B84" s="2"/>
      <c r="D84" s="2"/>
      <c r="E84" s="2"/>
      <c r="I84" s="2"/>
      <c r="J84" s="2"/>
    </row>
    <row r="85" spans="1:10" ht="12.75" customHeight="1">
      <c r="A85" s="2"/>
      <c r="B85" s="2"/>
      <c r="D85" s="2"/>
      <c r="E85" s="2"/>
      <c r="I85" s="2"/>
      <c r="J85" s="2"/>
    </row>
    <row r="86" spans="1:10" ht="12.75" customHeight="1">
      <c r="A86" s="2"/>
      <c r="B86" s="2"/>
      <c r="D86" s="2"/>
      <c r="E86" s="2"/>
      <c r="I86" s="2"/>
      <c r="J86" s="2"/>
    </row>
    <row r="87" spans="1:10" ht="12.75" customHeight="1">
      <c r="A87" s="2"/>
      <c r="B87" s="2"/>
      <c r="D87" s="2"/>
      <c r="E87" s="2"/>
      <c r="I87" s="2"/>
      <c r="J87" s="2"/>
    </row>
    <row r="88" spans="1:10" ht="12.75" customHeight="1">
      <c r="A88" s="2"/>
      <c r="B88" s="2"/>
      <c r="D88" s="2"/>
      <c r="E88" s="2"/>
      <c r="I88" s="2"/>
      <c r="J88" s="2"/>
    </row>
    <row r="89" spans="1:10" ht="12.75" customHeight="1">
      <c r="A89" s="2"/>
      <c r="B89" s="2"/>
      <c r="D89" s="2"/>
      <c r="E89" s="2"/>
      <c r="I89" s="2"/>
      <c r="J89" s="2"/>
    </row>
    <row r="90" spans="1:10" ht="12.75" customHeight="1">
      <c r="A90" s="2"/>
      <c r="B90" s="2"/>
      <c r="D90" s="2"/>
      <c r="E90" s="2"/>
      <c r="I90" s="2"/>
      <c r="J90" s="2"/>
    </row>
    <row r="91" spans="1:10" ht="12.75" customHeight="1">
      <c r="A91" s="2"/>
      <c r="B91" s="2"/>
      <c r="D91" s="2"/>
      <c r="E91" s="2"/>
      <c r="I91" s="2"/>
      <c r="J91" s="2"/>
    </row>
    <row r="92" spans="1:10" ht="12.75" customHeight="1">
      <c r="A92" s="2"/>
      <c r="B92" s="2"/>
      <c r="D92" s="2"/>
      <c r="E92" s="2"/>
      <c r="I92" s="2"/>
      <c r="J92" s="2"/>
    </row>
    <row r="93" spans="1:10" ht="12.75" customHeight="1">
      <c r="A93" s="2"/>
      <c r="B93" s="2"/>
      <c r="D93" s="2"/>
      <c r="E93" s="2"/>
      <c r="I93" s="2"/>
      <c r="J93" s="2"/>
    </row>
    <row r="94" spans="1:10" ht="12.75" customHeight="1">
      <c r="A94" s="2"/>
      <c r="B94" s="2"/>
      <c r="D94" s="2"/>
      <c r="E94" s="2"/>
      <c r="I94" s="2"/>
      <c r="J94" s="2"/>
    </row>
    <row r="95" spans="1:10" ht="12.75" customHeight="1">
      <c r="A95" s="2"/>
      <c r="B95" s="2"/>
      <c r="D95" s="2"/>
      <c r="E95" s="2"/>
      <c r="I95" s="2"/>
      <c r="J95" s="2"/>
    </row>
    <row r="96" spans="1:10" ht="12.75" customHeight="1">
      <c r="A96" s="2"/>
      <c r="B96" s="2"/>
      <c r="D96" s="2"/>
      <c r="E96" s="2"/>
      <c r="I96" s="2"/>
      <c r="J96" s="2"/>
    </row>
    <row r="97" spans="1:10">
      <c r="A97" s="2"/>
      <c r="B97" s="2"/>
      <c r="D97" s="2"/>
      <c r="E97" s="2"/>
      <c r="I97" s="2"/>
      <c r="J97" s="2"/>
    </row>
    <row r="98" spans="1:10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>
      <c r="A99" s="2"/>
      <c r="B99" s="2"/>
      <c r="D99" s="2"/>
      <c r="E99" s="2"/>
      <c r="I99" s="2"/>
      <c r="J99" s="2"/>
    </row>
    <row r="100" spans="1:10" ht="12.75" customHeight="1">
      <c r="A100" s="2"/>
      <c r="B100" s="2"/>
      <c r="D100" s="2"/>
      <c r="E100" s="2"/>
      <c r="I100" s="2"/>
      <c r="J100" s="2"/>
    </row>
    <row r="101" spans="1:10" ht="12.75" customHeight="1">
      <c r="A101" s="2"/>
      <c r="B101" s="2"/>
      <c r="D101" s="2"/>
      <c r="E101" s="2"/>
      <c r="I101" s="2"/>
      <c r="J101" s="2"/>
    </row>
    <row r="102" spans="1:10" ht="12.75" customHeight="1">
      <c r="A102" s="2"/>
      <c r="B102" s="2"/>
      <c r="D102" s="2"/>
      <c r="E102" s="2"/>
      <c r="I102" s="2"/>
      <c r="J102" s="2"/>
    </row>
    <row r="103" spans="1:10" ht="12.75" customHeight="1">
      <c r="A103" s="2"/>
      <c r="B103" s="2"/>
      <c r="D103" s="2"/>
      <c r="E103" s="2"/>
      <c r="I103" s="2"/>
      <c r="J103" s="2"/>
    </row>
    <row r="104" spans="1:10" s="5" customFormat="1" ht="12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</row>
    <row r="105" spans="1:10" ht="12.75" customHeight="1">
      <c r="A105" s="2"/>
      <c r="B105" s="2"/>
      <c r="D105" s="2"/>
      <c r="E105" s="2"/>
      <c r="I105" s="2"/>
      <c r="J105" s="2"/>
    </row>
    <row r="106" spans="1:10" ht="12.75" customHeight="1">
      <c r="A106" s="2"/>
      <c r="B106" s="2"/>
      <c r="D106" s="2"/>
      <c r="E106" s="2"/>
      <c r="I106" s="2"/>
      <c r="J106" s="2"/>
    </row>
    <row r="107" spans="1:10" ht="12.75" customHeight="1">
      <c r="A107" s="2"/>
      <c r="B107" s="2"/>
      <c r="D107" s="2"/>
      <c r="E107" s="2"/>
      <c r="I107" s="2"/>
      <c r="J107" s="2"/>
    </row>
    <row r="108" spans="1:10" ht="12.75" customHeight="1">
      <c r="A108" s="2"/>
      <c r="B108" s="2"/>
      <c r="D108" s="2"/>
      <c r="E108" s="2"/>
      <c r="I108" s="2"/>
      <c r="J108" s="2"/>
    </row>
    <row r="109" spans="1:10" ht="12.75" customHeight="1">
      <c r="A109" s="2"/>
      <c r="B109" s="2"/>
      <c r="D109" s="2"/>
      <c r="E109" s="2"/>
      <c r="I109" s="2"/>
      <c r="J109" s="2"/>
    </row>
    <row r="110" spans="1:10" ht="12.75" customHeight="1">
      <c r="A110" s="2"/>
      <c r="B110" s="2"/>
      <c r="D110" s="2"/>
      <c r="E110" s="2"/>
      <c r="I110" s="2"/>
      <c r="J110" s="2"/>
    </row>
    <row r="111" spans="1:10" ht="12.75" customHeight="1">
      <c r="A111" s="2"/>
      <c r="B111" s="2"/>
      <c r="D111" s="2"/>
      <c r="E111" s="2"/>
      <c r="I111" s="2"/>
      <c r="J111" s="2"/>
    </row>
    <row r="112" spans="1:10" ht="12.75" customHeight="1">
      <c r="A112" s="2"/>
      <c r="B112" s="2"/>
      <c r="D112" s="2"/>
      <c r="E112" s="2"/>
      <c r="I112" s="2"/>
      <c r="J112" s="2"/>
    </row>
    <row r="113" spans="1:10" ht="12.75" customHeight="1">
      <c r="A113" s="2"/>
      <c r="B113" s="2"/>
      <c r="D113" s="2"/>
      <c r="E113" s="2"/>
      <c r="I113" s="2"/>
      <c r="J113" s="2"/>
    </row>
    <row r="114" spans="1:10" ht="12.75" customHeight="1">
      <c r="A114" s="2"/>
      <c r="B114" s="2"/>
      <c r="D114" s="2"/>
      <c r="E114" s="2"/>
      <c r="I114" s="2"/>
      <c r="J114" s="2"/>
    </row>
    <row r="115" spans="1:10" ht="12.75" customHeight="1">
      <c r="A115" s="2"/>
      <c r="B115" s="2"/>
      <c r="D115" s="2"/>
      <c r="E115" s="2"/>
      <c r="I115" s="2"/>
      <c r="J115" s="2"/>
    </row>
    <row r="116" spans="1:10" ht="12.75" customHeight="1">
      <c r="A116" s="2"/>
      <c r="B116" s="2"/>
      <c r="D116" s="2"/>
      <c r="E116" s="2"/>
      <c r="I116" s="2"/>
      <c r="J116" s="2"/>
    </row>
    <row r="117" spans="1:10" ht="12.75" customHeight="1">
      <c r="A117" s="2"/>
      <c r="B117" s="2"/>
      <c r="D117" s="2"/>
      <c r="E117" s="2"/>
      <c r="I117" s="2"/>
      <c r="J117" s="2"/>
    </row>
    <row r="118" spans="1:10" ht="12.75" customHeight="1">
      <c r="A118" s="2"/>
      <c r="B118" s="2"/>
      <c r="D118" s="2"/>
      <c r="E118" s="2"/>
      <c r="I118" s="2"/>
      <c r="J118" s="2"/>
    </row>
    <row r="119" spans="1:10" ht="12.75" customHeight="1">
      <c r="A119" s="2"/>
      <c r="B119" s="2"/>
      <c r="D119" s="2"/>
      <c r="E119" s="2"/>
      <c r="I119" s="2"/>
      <c r="J119" s="2"/>
    </row>
    <row r="120" spans="1:10">
      <c r="A120" s="2"/>
      <c r="B120" s="2"/>
      <c r="D120" s="2"/>
      <c r="E120" s="2"/>
      <c r="I120" s="2"/>
      <c r="J120" s="2"/>
    </row>
    <row r="121" spans="1:10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>
      <c r="A122" s="2"/>
      <c r="B122" s="2"/>
      <c r="D122" s="2"/>
      <c r="E122" s="2"/>
      <c r="I122" s="2"/>
      <c r="J122" s="2"/>
    </row>
    <row r="123" spans="1:10" ht="12.75" customHeight="1">
      <c r="A123" s="2"/>
      <c r="B123" s="2"/>
      <c r="D123" s="2"/>
      <c r="E123" s="2"/>
      <c r="I123" s="2"/>
      <c r="J123" s="2"/>
    </row>
    <row r="124" spans="1:10" ht="12.75" customHeight="1">
      <c r="A124" s="2"/>
      <c r="B124" s="2"/>
      <c r="D124" s="2"/>
      <c r="E124" s="2"/>
      <c r="I124" s="2"/>
      <c r="J124" s="2"/>
    </row>
    <row r="125" spans="1:10" ht="12.75" customHeight="1">
      <c r="A125" s="2"/>
      <c r="B125" s="2"/>
      <c r="D125" s="2"/>
      <c r="E125" s="2"/>
      <c r="I125" s="2"/>
      <c r="J125" s="2"/>
    </row>
    <row r="126" spans="1:10" ht="12.75" customHeight="1">
      <c r="A126" s="2"/>
      <c r="B126" s="2"/>
      <c r="D126" s="2"/>
      <c r="E126" s="2"/>
      <c r="I126" s="2"/>
      <c r="J126" s="2"/>
    </row>
    <row r="127" spans="1:10" s="5" customFormat="1" ht="12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</row>
    <row r="128" spans="1:10" ht="12.75" customHeight="1">
      <c r="A128" s="2"/>
      <c r="B128" s="2"/>
      <c r="D128" s="2"/>
      <c r="E128" s="2"/>
      <c r="I128" s="2"/>
      <c r="J128" s="2"/>
    </row>
    <row r="129" spans="1:10" ht="12.75" customHeight="1">
      <c r="A129" s="2"/>
      <c r="B129" s="2"/>
      <c r="D129" s="2"/>
      <c r="E129" s="2"/>
      <c r="I129" s="2"/>
      <c r="J129" s="2"/>
    </row>
    <row r="130" spans="1:10" ht="12.75" customHeight="1">
      <c r="A130" s="2"/>
      <c r="B130" s="2"/>
      <c r="D130" s="2"/>
      <c r="E130" s="2"/>
      <c r="I130" s="2"/>
      <c r="J130" s="2"/>
    </row>
    <row r="131" spans="1:10" ht="12.75" customHeight="1">
      <c r="A131" s="2"/>
      <c r="B131" s="2"/>
      <c r="D131" s="2"/>
      <c r="E131" s="2"/>
      <c r="I131" s="2"/>
      <c r="J131" s="2"/>
    </row>
    <row r="132" spans="1:10" ht="12.75" customHeight="1">
      <c r="A132" s="2"/>
      <c r="B132" s="2"/>
      <c r="D132" s="2"/>
      <c r="E132" s="2"/>
      <c r="I132" s="2"/>
      <c r="J132" s="2"/>
    </row>
    <row r="133" spans="1:10" ht="12.75" customHeight="1">
      <c r="A133" s="2"/>
      <c r="B133" s="2"/>
      <c r="D133" s="2"/>
      <c r="E133" s="2"/>
      <c r="I133" s="2"/>
      <c r="J133" s="2"/>
    </row>
    <row r="134" spans="1:10" ht="12.75" customHeight="1">
      <c r="A134" s="2"/>
      <c r="B134" s="2"/>
      <c r="D134" s="2"/>
      <c r="E134" s="2"/>
      <c r="I134" s="2"/>
      <c r="J134" s="2"/>
    </row>
    <row r="135" spans="1:10" ht="12.75" customHeight="1">
      <c r="A135" s="2"/>
      <c r="B135" s="2"/>
      <c r="D135" s="2"/>
      <c r="E135" s="2"/>
      <c r="I135" s="2"/>
      <c r="J135" s="2"/>
    </row>
    <row r="136" spans="1:10" ht="12.75" customHeight="1">
      <c r="A136" s="2"/>
      <c r="B136" s="2"/>
      <c r="D136" s="2"/>
      <c r="E136" s="2"/>
      <c r="I136" s="2"/>
      <c r="J136" s="2"/>
    </row>
    <row r="137" spans="1:10" ht="12.75" customHeight="1">
      <c r="A137" s="2"/>
      <c r="B137" s="2"/>
      <c r="D137" s="2"/>
      <c r="E137" s="2"/>
      <c r="I137" s="2"/>
      <c r="J137" s="2"/>
    </row>
    <row r="138" spans="1:10" ht="12.75" customHeight="1">
      <c r="A138" s="2"/>
      <c r="B138" s="2"/>
      <c r="D138" s="2"/>
      <c r="E138" s="2"/>
      <c r="I138" s="2"/>
      <c r="J138" s="2"/>
    </row>
    <row r="139" spans="1:10" ht="12.75" customHeight="1">
      <c r="A139" s="2"/>
      <c r="B139" s="2"/>
      <c r="D139" s="2"/>
      <c r="E139" s="2"/>
      <c r="I139" s="2"/>
      <c r="J139" s="2"/>
    </row>
    <row r="140" spans="1:10" ht="12.75" customHeight="1">
      <c r="A140" s="2"/>
      <c r="B140" s="2"/>
      <c r="D140" s="2"/>
      <c r="E140" s="2"/>
      <c r="I140" s="2"/>
      <c r="J140" s="2"/>
    </row>
    <row r="141" spans="1:10" ht="12.75" customHeight="1">
      <c r="A141" s="2"/>
      <c r="B141" s="2"/>
      <c r="D141" s="2"/>
      <c r="E141" s="2"/>
      <c r="I141" s="2"/>
      <c r="J141" s="2"/>
    </row>
    <row r="142" spans="1:10" ht="12.75" customHeight="1">
      <c r="A142" s="2"/>
      <c r="B142" s="2"/>
      <c r="D142" s="2"/>
      <c r="E142" s="2"/>
      <c r="I142" s="2"/>
      <c r="J142" s="2"/>
    </row>
    <row r="143" spans="1:10">
      <c r="A143" s="2"/>
      <c r="B143" s="2"/>
      <c r="D143" s="2"/>
      <c r="E143" s="2"/>
      <c r="I143" s="2"/>
      <c r="J143" s="2"/>
    </row>
    <row r="144" spans="1:10">
      <c r="A144" s="5"/>
      <c r="B144" s="5"/>
      <c r="C144" s="5"/>
      <c r="D144" s="5"/>
      <c r="E144" s="5"/>
      <c r="F144" s="5"/>
      <c r="G144" s="5"/>
      <c r="H144" s="5"/>
      <c r="I144" s="5"/>
      <c r="J144" s="5"/>
    </row>
    <row r="145" spans="1:10">
      <c r="A145" s="2"/>
      <c r="B145" s="2"/>
      <c r="D145" s="2"/>
      <c r="E145" s="2"/>
      <c r="I145" s="2"/>
      <c r="J145" s="2"/>
    </row>
    <row r="146" spans="1:10" ht="12.75" customHeight="1">
      <c r="A146" s="2"/>
      <c r="B146" s="2"/>
      <c r="D146" s="2"/>
      <c r="E146" s="2"/>
      <c r="I146" s="2"/>
      <c r="J146" s="2"/>
    </row>
    <row r="147" spans="1:10" ht="12.75" customHeight="1">
      <c r="A147" s="2"/>
      <c r="B147" s="2"/>
      <c r="D147" s="2"/>
      <c r="E147" s="2"/>
      <c r="I147" s="2"/>
      <c r="J147" s="2"/>
    </row>
    <row r="148" spans="1:10" ht="12.75" customHeight="1">
      <c r="A148" s="2"/>
      <c r="B148" s="2"/>
      <c r="D148" s="2"/>
      <c r="E148" s="2"/>
      <c r="I148" s="2"/>
      <c r="J148" s="2"/>
    </row>
    <row r="149" spans="1:10" ht="12.75" customHeight="1">
      <c r="A149" s="2"/>
      <c r="B149" s="2"/>
      <c r="D149" s="2"/>
      <c r="E149" s="2"/>
      <c r="I149" s="2"/>
      <c r="J149" s="2"/>
    </row>
    <row r="150" spans="1:10" s="5" customFormat="1" ht="12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</row>
    <row r="151" spans="1:10" ht="12.75" customHeight="1">
      <c r="A151" s="2"/>
      <c r="B151" s="2"/>
      <c r="D151" s="2"/>
      <c r="E151" s="2"/>
      <c r="I151" s="2"/>
      <c r="J151" s="2"/>
    </row>
    <row r="152" spans="1:10" ht="12.75" customHeight="1">
      <c r="A152" s="2"/>
      <c r="B152" s="2"/>
      <c r="D152" s="2"/>
      <c r="E152" s="2"/>
      <c r="I152" s="2"/>
      <c r="J152" s="2"/>
    </row>
    <row r="153" spans="1:10" ht="12.75" customHeight="1">
      <c r="A153" s="2"/>
      <c r="B153" s="2"/>
      <c r="D153" s="2"/>
      <c r="E153" s="2"/>
      <c r="I153" s="2"/>
      <c r="J153" s="2"/>
    </row>
    <row r="154" spans="1:10" ht="12.75" customHeight="1">
      <c r="A154" s="2"/>
      <c r="B154" s="2"/>
      <c r="D154" s="2"/>
      <c r="E154" s="2"/>
      <c r="I154" s="2"/>
      <c r="J154" s="2"/>
    </row>
    <row r="155" spans="1:10" ht="12.75" customHeight="1">
      <c r="A155" s="2"/>
      <c r="B155" s="2"/>
      <c r="D155" s="2"/>
      <c r="E155" s="2"/>
      <c r="I155" s="2"/>
      <c r="J155" s="2"/>
    </row>
    <row r="156" spans="1:10" ht="12.75" customHeight="1">
      <c r="A156" s="2"/>
      <c r="B156" s="2"/>
      <c r="D156" s="2"/>
      <c r="E156" s="2"/>
      <c r="I156" s="2"/>
      <c r="J156" s="2"/>
    </row>
    <row r="157" spans="1:10" ht="12.75" customHeight="1">
      <c r="A157" s="2"/>
      <c r="B157" s="2"/>
      <c r="D157" s="2"/>
      <c r="E157" s="2"/>
      <c r="I157" s="2"/>
      <c r="J157" s="2"/>
    </row>
    <row r="158" spans="1:10" ht="12.75" customHeight="1">
      <c r="A158" s="2"/>
      <c r="B158" s="2"/>
      <c r="D158" s="2"/>
      <c r="E158" s="2"/>
      <c r="I158" s="2"/>
      <c r="J158" s="2"/>
    </row>
    <row r="159" spans="1:10" ht="12.75" customHeight="1">
      <c r="A159" s="2"/>
      <c r="B159" s="2"/>
      <c r="D159" s="2"/>
      <c r="E159" s="2"/>
      <c r="I159" s="2"/>
      <c r="J159" s="2"/>
    </row>
    <row r="160" spans="1:10" ht="12.75" customHeight="1">
      <c r="A160" s="2"/>
      <c r="B160" s="2"/>
      <c r="D160" s="2"/>
      <c r="E160" s="2"/>
      <c r="I160" s="2"/>
      <c r="J160" s="2"/>
    </row>
    <row r="161" spans="1:10" ht="12.75" customHeight="1">
      <c r="A161" s="2"/>
      <c r="B161" s="2"/>
      <c r="D161" s="2"/>
      <c r="E161" s="2"/>
      <c r="I161" s="2"/>
      <c r="J161" s="2"/>
    </row>
    <row r="162" spans="1:10" ht="12.75" customHeight="1">
      <c r="A162" s="2"/>
      <c r="B162" s="2"/>
      <c r="D162" s="2"/>
      <c r="E162" s="2"/>
      <c r="I162" s="2"/>
      <c r="J162" s="2"/>
    </row>
    <row r="163" spans="1:10" ht="12.75" customHeight="1">
      <c r="A163" s="2"/>
      <c r="B163" s="2"/>
      <c r="D163" s="2"/>
      <c r="E163" s="2"/>
      <c r="I163" s="2"/>
      <c r="J163" s="2"/>
    </row>
    <row r="164" spans="1:10" ht="12.75" customHeight="1">
      <c r="A164" s="2"/>
      <c r="B164" s="2"/>
      <c r="D164" s="2"/>
      <c r="E164" s="2"/>
      <c r="I164" s="2"/>
      <c r="J164" s="2"/>
    </row>
    <row r="165" spans="1:10" ht="12.75" customHeight="1">
      <c r="A165" s="2"/>
      <c r="B165" s="2"/>
      <c r="D165" s="2"/>
      <c r="E165" s="2"/>
      <c r="I165" s="2"/>
      <c r="J165" s="2"/>
    </row>
    <row r="166" spans="1:10">
      <c r="A166" s="2"/>
      <c r="B166" s="2"/>
      <c r="D166" s="2"/>
      <c r="E166" s="2"/>
      <c r="I166" s="2"/>
      <c r="J166" s="2"/>
    </row>
    <row r="167" spans="1:10">
      <c r="A167" s="5"/>
      <c r="B167" s="5"/>
      <c r="C167" s="5"/>
      <c r="D167" s="5"/>
      <c r="E167" s="5"/>
      <c r="F167" s="5"/>
      <c r="G167" s="5"/>
      <c r="H167" s="5"/>
      <c r="I167" s="5"/>
      <c r="J167" s="5"/>
    </row>
    <row r="168" spans="1:10">
      <c r="A168" s="2"/>
      <c r="B168" s="2"/>
      <c r="D168" s="2"/>
      <c r="E168" s="2"/>
      <c r="I168" s="2"/>
      <c r="J168" s="2"/>
    </row>
    <row r="169" spans="1:10" ht="12.75" customHeight="1">
      <c r="A169" s="2"/>
      <c r="B169" s="2"/>
      <c r="D169" s="2"/>
      <c r="E169" s="2"/>
      <c r="I169" s="2"/>
      <c r="J169" s="2"/>
    </row>
    <row r="170" spans="1:10" ht="12.75" customHeight="1">
      <c r="A170" s="2"/>
      <c r="B170" s="2"/>
      <c r="D170" s="2"/>
      <c r="E170" s="2"/>
      <c r="I170" s="2"/>
      <c r="J170" s="2"/>
    </row>
    <row r="171" spans="1:10" ht="12.75" customHeight="1">
      <c r="A171" s="2"/>
      <c r="B171" s="2"/>
      <c r="D171" s="2"/>
      <c r="E171" s="2"/>
      <c r="I171" s="2"/>
      <c r="J171" s="2"/>
    </row>
    <row r="172" spans="1:10" ht="12.75" customHeight="1">
      <c r="A172" s="2"/>
      <c r="B172" s="2"/>
      <c r="D172" s="2"/>
      <c r="E172" s="2"/>
      <c r="I172" s="2"/>
      <c r="J172" s="2"/>
    </row>
    <row r="173" spans="1:10" s="5" customFormat="1" ht="12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</row>
    <row r="174" spans="1:10" ht="12.75" customHeight="1">
      <c r="A174" s="2"/>
      <c r="B174" s="2"/>
      <c r="D174" s="2"/>
      <c r="E174" s="2"/>
      <c r="I174" s="2"/>
      <c r="J174" s="2"/>
    </row>
    <row r="175" spans="1:10" ht="12.75" customHeight="1">
      <c r="A175" s="2"/>
      <c r="B175" s="2"/>
      <c r="D175" s="2"/>
      <c r="E175" s="2"/>
      <c r="I175" s="2"/>
      <c r="J175" s="2"/>
    </row>
    <row r="176" spans="1:10" ht="12.75" customHeight="1">
      <c r="A176" s="2"/>
      <c r="B176" s="2"/>
      <c r="D176" s="2"/>
      <c r="E176" s="2"/>
      <c r="I176" s="2"/>
      <c r="J176" s="2"/>
    </row>
    <row r="177" spans="1:10" ht="12.75" customHeight="1">
      <c r="A177" s="2"/>
      <c r="B177" s="2"/>
      <c r="D177" s="2"/>
      <c r="E177" s="2"/>
      <c r="I177" s="2"/>
      <c r="J177" s="2"/>
    </row>
    <row r="178" spans="1:10" ht="12.75" customHeight="1">
      <c r="A178" s="2"/>
      <c r="B178" s="2"/>
      <c r="D178" s="2"/>
      <c r="E178" s="2"/>
      <c r="I178" s="2"/>
      <c r="J178" s="2"/>
    </row>
    <row r="179" spans="1:10" ht="12.75" customHeight="1">
      <c r="A179" s="2"/>
      <c r="B179" s="2"/>
      <c r="D179" s="2"/>
      <c r="E179" s="2"/>
      <c r="I179" s="2"/>
      <c r="J179" s="2"/>
    </row>
    <row r="180" spans="1:10" ht="12.75" customHeight="1">
      <c r="A180" s="2"/>
      <c r="B180" s="2"/>
      <c r="D180" s="2"/>
      <c r="E180" s="2"/>
      <c r="I180" s="2"/>
      <c r="J180" s="2"/>
    </row>
    <row r="181" spans="1:10" ht="12.75" customHeight="1">
      <c r="A181" s="2"/>
      <c r="B181" s="2"/>
      <c r="D181" s="2"/>
      <c r="E181" s="2"/>
      <c r="I181" s="2"/>
      <c r="J181" s="2"/>
    </row>
    <row r="182" spans="1:10" ht="12.75" customHeight="1">
      <c r="A182" s="2"/>
      <c r="B182" s="2"/>
      <c r="D182" s="2"/>
      <c r="E182" s="2"/>
      <c r="I182" s="2"/>
      <c r="J182" s="2"/>
    </row>
    <row r="183" spans="1:10" ht="12.75" customHeight="1">
      <c r="A183" s="2"/>
      <c r="B183" s="2"/>
      <c r="D183" s="2"/>
      <c r="E183" s="2"/>
      <c r="I183" s="2"/>
      <c r="J183" s="2"/>
    </row>
    <row r="184" spans="1:10" ht="12.75" customHeight="1">
      <c r="A184" s="2"/>
      <c r="B184" s="2"/>
      <c r="D184" s="2"/>
      <c r="E184" s="2"/>
      <c r="I184" s="2"/>
      <c r="J184" s="2"/>
    </row>
    <row r="185" spans="1:10" ht="12.75" customHeight="1">
      <c r="A185" s="2"/>
      <c r="B185" s="2"/>
      <c r="D185" s="2"/>
      <c r="E185" s="2"/>
      <c r="I185" s="2"/>
      <c r="J185" s="2"/>
    </row>
    <row r="186" spans="1:10" ht="12.75" customHeight="1">
      <c r="A186" s="2"/>
      <c r="B186" s="2"/>
      <c r="D186" s="2"/>
      <c r="E186" s="2"/>
      <c r="I186" s="2"/>
      <c r="J186" s="2"/>
    </row>
    <row r="187" spans="1:10" ht="12.75" customHeight="1">
      <c r="A187" s="2"/>
      <c r="B187" s="2"/>
      <c r="D187" s="2"/>
      <c r="E187" s="2"/>
      <c r="I187" s="2"/>
      <c r="J187" s="2"/>
    </row>
    <row r="188" spans="1:10" ht="12.75" customHeight="1">
      <c r="A188" s="2"/>
      <c r="B188" s="2"/>
      <c r="D188" s="2"/>
      <c r="E188" s="2"/>
      <c r="I188" s="2"/>
      <c r="J188" s="2"/>
    </row>
    <row r="189" spans="1:10">
      <c r="A189" s="2"/>
      <c r="B189" s="2"/>
      <c r="D189" s="2"/>
      <c r="E189" s="2"/>
      <c r="I189" s="2"/>
      <c r="J189" s="2"/>
    </row>
    <row r="190" spans="1:10">
      <c r="A190" s="5"/>
      <c r="B190" s="5"/>
      <c r="C190" s="5"/>
      <c r="D190" s="5"/>
      <c r="E190" s="5"/>
      <c r="F190" s="5"/>
      <c r="G190" s="5"/>
      <c r="H190" s="5"/>
      <c r="I190" s="5"/>
      <c r="J190" s="5"/>
    </row>
    <row r="191" spans="1:10">
      <c r="A191" s="2"/>
      <c r="B191" s="2"/>
      <c r="D191" s="2"/>
      <c r="E191" s="2"/>
      <c r="I191" s="2"/>
      <c r="J191" s="2"/>
    </row>
    <row r="192" spans="1:10" ht="12.75" customHeight="1">
      <c r="A192" s="2"/>
      <c r="B192" s="2"/>
      <c r="D192" s="2"/>
      <c r="E192" s="2"/>
      <c r="I192" s="2"/>
      <c r="J192" s="2"/>
    </row>
    <row r="193" spans="1:10" ht="12.75" customHeight="1">
      <c r="A193" s="2"/>
      <c r="B193" s="2"/>
      <c r="D193" s="2"/>
      <c r="E193" s="2"/>
      <c r="I193" s="2"/>
      <c r="J193" s="2"/>
    </row>
    <row r="194" spans="1:10" ht="12.75" customHeight="1">
      <c r="A194" s="2"/>
      <c r="B194" s="2"/>
      <c r="D194" s="2"/>
      <c r="E194" s="2"/>
      <c r="I194" s="2"/>
      <c r="J194" s="2"/>
    </row>
    <row r="195" spans="1:10" ht="12.75" customHeight="1">
      <c r="A195" s="2"/>
      <c r="B195" s="2"/>
      <c r="D195" s="2"/>
      <c r="E195" s="2"/>
      <c r="I195" s="2"/>
      <c r="J195" s="2"/>
    </row>
    <row r="196" spans="1:10" s="5" customFormat="1" ht="12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</row>
    <row r="197" spans="1:10" ht="12.75" customHeight="1">
      <c r="A197" s="2"/>
      <c r="B197" s="2"/>
      <c r="D197" s="2"/>
      <c r="E197" s="2"/>
      <c r="I197" s="2"/>
      <c r="J197" s="2"/>
    </row>
    <row r="198" spans="1:10" ht="12.75" customHeight="1">
      <c r="A198" s="2"/>
      <c r="B198" s="2"/>
      <c r="D198" s="2"/>
      <c r="E198" s="2"/>
      <c r="I198" s="2"/>
      <c r="J198" s="2"/>
    </row>
    <row r="199" spans="1:10" ht="12.75" customHeight="1">
      <c r="A199" s="2"/>
      <c r="B199" s="2"/>
      <c r="D199" s="2"/>
      <c r="E199" s="2"/>
      <c r="I199" s="2"/>
      <c r="J199" s="2"/>
    </row>
    <row r="200" spans="1:10" ht="12.75" customHeight="1">
      <c r="A200" s="2"/>
      <c r="B200" s="2"/>
      <c r="D200" s="2"/>
      <c r="E200" s="2"/>
      <c r="I200" s="2"/>
      <c r="J200" s="2"/>
    </row>
    <row r="201" spans="1:10" ht="12.75" customHeight="1">
      <c r="A201" s="2"/>
      <c r="B201" s="2"/>
      <c r="D201" s="2"/>
      <c r="E201" s="2"/>
      <c r="I201" s="2"/>
      <c r="J201" s="2"/>
    </row>
    <row r="202" spans="1:10" ht="12.75" customHeight="1">
      <c r="A202" s="2"/>
      <c r="B202" s="2"/>
      <c r="D202" s="2"/>
      <c r="E202" s="2"/>
      <c r="I202" s="2"/>
      <c r="J202" s="2"/>
    </row>
    <row r="203" spans="1:10" ht="12.75" customHeight="1">
      <c r="A203" s="2"/>
      <c r="B203" s="2"/>
      <c r="D203" s="2"/>
      <c r="E203" s="2"/>
      <c r="I203" s="2"/>
      <c r="J203" s="2"/>
    </row>
    <row r="204" spans="1:10" ht="12.75" customHeight="1">
      <c r="A204" s="2"/>
      <c r="B204" s="2"/>
      <c r="D204" s="2"/>
      <c r="E204" s="2"/>
      <c r="I204" s="2"/>
      <c r="J204" s="2"/>
    </row>
    <row r="205" spans="1:10" ht="12.75" customHeight="1">
      <c r="A205" s="2"/>
      <c r="B205" s="2"/>
      <c r="D205" s="2"/>
      <c r="E205" s="2"/>
      <c r="I205" s="2"/>
      <c r="J205" s="2"/>
    </row>
    <row r="206" spans="1:10" ht="12.75" customHeight="1">
      <c r="A206" s="2"/>
      <c r="B206" s="2"/>
      <c r="D206" s="2"/>
      <c r="E206" s="2"/>
      <c r="I206" s="2"/>
      <c r="J206" s="2"/>
    </row>
    <row r="207" spans="1:10" ht="12.75" customHeight="1">
      <c r="A207" s="2"/>
      <c r="B207" s="2"/>
      <c r="D207" s="2"/>
      <c r="E207" s="2"/>
      <c r="I207" s="2"/>
      <c r="J207" s="2"/>
    </row>
    <row r="208" spans="1:10" ht="12.75" customHeight="1">
      <c r="A208" s="2"/>
      <c r="B208" s="2"/>
      <c r="D208" s="2"/>
      <c r="E208" s="2"/>
      <c r="I208" s="2"/>
      <c r="J208" s="2"/>
    </row>
    <row r="209" spans="1:10" ht="12.75" customHeight="1">
      <c r="A209" s="2"/>
      <c r="B209" s="2"/>
      <c r="D209" s="2"/>
      <c r="E209" s="2"/>
      <c r="I209" s="2"/>
      <c r="J209" s="2"/>
    </row>
    <row r="210" spans="1:10" ht="12.75" customHeight="1">
      <c r="A210" s="2"/>
      <c r="B210" s="2"/>
      <c r="D210" s="2"/>
      <c r="E210" s="2"/>
      <c r="I210" s="2"/>
      <c r="J210" s="2"/>
    </row>
    <row r="211" spans="1:10" ht="12.75" customHeight="1">
      <c r="A211" s="2"/>
      <c r="B211" s="2"/>
      <c r="D211" s="2"/>
      <c r="E211" s="2"/>
      <c r="I211" s="2"/>
      <c r="J211" s="2"/>
    </row>
    <row r="212" spans="1:10">
      <c r="A212" s="2"/>
      <c r="B212" s="2"/>
      <c r="D212" s="2"/>
      <c r="E212" s="2"/>
      <c r="I212" s="2"/>
      <c r="J212" s="2"/>
    </row>
    <row r="213" spans="1:10">
      <c r="A213" s="5"/>
      <c r="B213" s="5"/>
      <c r="C213" s="5"/>
      <c r="D213" s="5"/>
      <c r="E213" s="5"/>
      <c r="F213" s="5"/>
      <c r="G213" s="5"/>
      <c r="H213" s="5"/>
      <c r="I213" s="5"/>
      <c r="J213" s="5"/>
    </row>
    <row r="214" spans="1:10">
      <c r="A214" s="2"/>
      <c r="B214" s="2"/>
      <c r="D214" s="2"/>
      <c r="E214" s="2"/>
      <c r="I214" s="2"/>
      <c r="J214" s="2"/>
    </row>
    <row r="215" spans="1:10" ht="12.75" customHeight="1">
      <c r="A215" s="2"/>
      <c r="B215" s="2"/>
      <c r="D215" s="2"/>
      <c r="E215" s="2"/>
      <c r="I215" s="2"/>
      <c r="J215" s="2"/>
    </row>
    <row r="216" spans="1:10" ht="12.75" customHeight="1">
      <c r="A216" s="2"/>
      <c r="B216" s="2"/>
      <c r="D216" s="2"/>
      <c r="E216" s="2"/>
      <c r="I216" s="2"/>
      <c r="J216" s="2"/>
    </row>
    <row r="217" spans="1:10" ht="12.75" customHeight="1">
      <c r="A217" s="2"/>
      <c r="B217" s="2"/>
      <c r="D217" s="2"/>
      <c r="E217" s="2"/>
      <c r="I217" s="2"/>
      <c r="J217" s="2"/>
    </row>
    <row r="218" spans="1:10" ht="12.75" customHeight="1">
      <c r="A218" s="2"/>
      <c r="B218" s="2"/>
      <c r="D218" s="2"/>
      <c r="E218" s="2"/>
      <c r="I218" s="2"/>
      <c r="J218" s="2"/>
    </row>
    <row r="219" spans="1:10" s="5" customFormat="1" ht="12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</row>
    <row r="220" spans="1:10" ht="12.75" customHeight="1">
      <c r="A220" s="2"/>
      <c r="B220" s="2"/>
      <c r="D220" s="2"/>
      <c r="E220" s="2"/>
      <c r="I220" s="2"/>
      <c r="J220" s="2"/>
    </row>
    <row r="221" spans="1:10" ht="12.75" customHeight="1">
      <c r="A221" s="2"/>
      <c r="B221" s="2"/>
      <c r="D221" s="2"/>
      <c r="E221" s="2"/>
      <c r="I221" s="2"/>
      <c r="J221" s="2"/>
    </row>
    <row r="222" spans="1:10" ht="12.75" customHeight="1">
      <c r="A222" s="2"/>
      <c r="B222" s="2"/>
      <c r="D222" s="2"/>
      <c r="E222" s="2"/>
      <c r="I222" s="2"/>
      <c r="J222" s="2"/>
    </row>
    <row r="223" spans="1:10" ht="12.75" customHeight="1">
      <c r="A223" s="2"/>
      <c r="B223" s="2"/>
      <c r="D223" s="2"/>
      <c r="E223" s="2"/>
      <c r="I223" s="2"/>
      <c r="J223" s="2"/>
    </row>
    <row r="224" spans="1:10" ht="12.75" customHeight="1">
      <c r="A224" s="2"/>
      <c r="B224" s="2"/>
      <c r="D224" s="2"/>
      <c r="E224" s="2"/>
      <c r="I224" s="2"/>
      <c r="J224" s="2"/>
    </row>
    <row r="225" spans="1:10" ht="12.75" customHeight="1">
      <c r="A225" s="2"/>
      <c r="B225" s="2"/>
      <c r="D225" s="2"/>
      <c r="E225" s="2"/>
      <c r="I225" s="2"/>
      <c r="J225" s="2"/>
    </row>
    <row r="226" spans="1:10" ht="12.75" customHeight="1">
      <c r="A226" s="2"/>
      <c r="B226" s="2"/>
      <c r="D226" s="2"/>
      <c r="E226" s="2"/>
      <c r="I226" s="2"/>
      <c r="J226" s="2"/>
    </row>
    <row r="227" spans="1:10" ht="12.75" customHeight="1">
      <c r="A227" s="2"/>
      <c r="B227" s="2"/>
      <c r="D227" s="2"/>
      <c r="E227" s="2"/>
      <c r="I227" s="2"/>
      <c r="J227" s="2"/>
    </row>
    <row r="228" spans="1:10" ht="12.75" customHeight="1">
      <c r="A228" s="2"/>
      <c r="B228" s="2"/>
      <c r="D228" s="2"/>
      <c r="E228" s="2"/>
      <c r="I228" s="2"/>
      <c r="J228" s="2"/>
    </row>
    <row r="229" spans="1:10" ht="12.75" customHeight="1">
      <c r="A229" s="2"/>
      <c r="B229" s="2"/>
      <c r="D229" s="2"/>
      <c r="E229" s="2"/>
      <c r="I229" s="2"/>
      <c r="J229" s="2"/>
    </row>
    <row r="230" spans="1:10" ht="12.75" customHeight="1">
      <c r="A230" s="2"/>
      <c r="B230" s="2"/>
      <c r="D230" s="2"/>
      <c r="E230" s="2"/>
      <c r="I230" s="2"/>
      <c r="J230" s="2"/>
    </row>
    <row r="231" spans="1:10" ht="12.75" customHeight="1">
      <c r="A231" s="2"/>
      <c r="B231" s="2"/>
      <c r="D231" s="2"/>
      <c r="E231" s="2"/>
      <c r="I231" s="2"/>
      <c r="J231" s="2"/>
    </row>
    <row r="232" spans="1:10" ht="12.75" customHeight="1">
      <c r="A232" s="2"/>
      <c r="B232" s="2"/>
      <c r="D232" s="2"/>
      <c r="E232" s="2"/>
      <c r="I232" s="2"/>
      <c r="J232" s="2"/>
    </row>
    <row r="233" spans="1:10" ht="12.75" customHeight="1">
      <c r="A233" s="2"/>
      <c r="B233" s="2"/>
      <c r="D233" s="2"/>
      <c r="E233" s="2"/>
      <c r="I233" s="2"/>
      <c r="J233" s="2"/>
    </row>
    <row r="234" spans="1:10" ht="12.75" customHeight="1">
      <c r="A234" s="2"/>
      <c r="B234" s="2"/>
      <c r="D234" s="2"/>
      <c r="E234" s="2"/>
      <c r="I234" s="2"/>
      <c r="J234" s="2"/>
    </row>
    <row r="235" spans="1:10">
      <c r="A235" s="2"/>
      <c r="B235" s="2"/>
      <c r="D235" s="2"/>
      <c r="E235" s="2"/>
      <c r="I235" s="2"/>
      <c r="J235" s="2"/>
    </row>
    <row r="236" spans="1:10">
      <c r="A236" s="2"/>
      <c r="B236" s="2"/>
      <c r="D236" s="2"/>
      <c r="E236" s="2"/>
      <c r="I236" s="2"/>
      <c r="J236" s="2"/>
    </row>
    <row r="237" spans="1:10">
      <c r="A237" s="2"/>
      <c r="B237" s="2"/>
      <c r="D237" s="2"/>
      <c r="E237" s="2"/>
      <c r="I237" s="2"/>
      <c r="J237" s="2"/>
    </row>
    <row r="238" spans="1:10" ht="12.75" customHeight="1">
      <c r="A238" s="2"/>
      <c r="B238" s="2"/>
      <c r="D238" s="2"/>
      <c r="E238" s="2"/>
      <c r="I238" s="2"/>
      <c r="J238" s="2"/>
    </row>
    <row r="239" spans="1:10" ht="12.75" customHeight="1">
      <c r="A239" s="2"/>
      <c r="B239" s="2"/>
      <c r="D239" s="2"/>
      <c r="E239" s="2"/>
      <c r="I239" s="2"/>
      <c r="J239" s="2"/>
    </row>
    <row r="240" spans="1:10" ht="12.75" customHeight="1">
      <c r="A240" s="2"/>
      <c r="B240" s="2"/>
      <c r="D240" s="2"/>
      <c r="E240" s="2"/>
      <c r="I240" s="2"/>
      <c r="J240" s="2"/>
    </row>
    <row r="241" spans="1:10" ht="12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</row>
    <row r="242" spans="1:10" ht="12.75" customHeight="1">
      <c r="A242" s="2"/>
      <c r="B242" s="2"/>
      <c r="D242" s="2"/>
      <c r="E242" s="2"/>
      <c r="I242" s="2"/>
      <c r="J242" s="2"/>
    </row>
    <row r="243" spans="1:10" ht="12.75" customHeight="1">
      <c r="A243" s="2"/>
      <c r="B243" s="2"/>
      <c r="D243" s="2"/>
      <c r="E243" s="2"/>
      <c r="I243" s="2"/>
      <c r="J243" s="2"/>
    </row>
    <row r="244" spans="1:10" ht="12.75" customHeight="1">
      <c r="A244" s="2"/>
      <c r="B244" s="2"/>
      <c r="D244" s="2"/>
      <c r="E244" s="2"/>
      <c r="I244" s="2"/>
      <c r="J244" s="2"/>
    </row>
    <row r="245" spans="1:10" ht="12.75" customHeight="1">
      <c r="A245" s="2"/>
      <c r="B245" s="2"/>
      <c r="D245" s="2"/>
      <c r="E245" s="2"/>
      <c r="I245" s="2"/>
      <c r="J245" s="2"/>
    </row>
    <row r="246" spans="1:10" ht="12.75" customHeight="1">
      <c r="A246" s="2"/>
      <c r="B246" s="2"/>
      <c r="D246" s="2"/>
      <c r="E246" s="2"/>
      <c r="I246" s="2"/>
      <c r="J246" s="2"/>
    </row>
    <row r="247" spans="1:10" s="5" customFormat="1" ht="12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</row>
    <row r="248" spans="1:10" ht="12.75" customHeight="1">
      <c r="A248" s="2"/>
      <c r="B248" s="2"/>
      <c r="D248" s="2"/>
      <c r="E248" s="2"/>
      <c r="I248" s="2"/>
      <c r="J248" s="2"/>
    </row>
    <row r="249" spans="1:10" ht="12.75" customHeight="1">
      <c r="A249" s="2"/>
      <c r="B249" s="2"/>
      <c r="D249" s="2"/>
      <c r="E249" s="2"/>
      <c r="I249" s="2"/>
      <c r="J249" s="2"/>
    </row>
    <row r="250" spans="1:10" ht="12.75" customHeight="1">
      <c r="A250" s="2"/>
      <c r="B250" s="2"/>
      <c r="D250" s="2"/>
      <c r="E250" s="2"/>
      <c r="I250" s="2"/>
      <c r="J250" s="2"/>
    </row>
    <row r="251" spans="1:10" ht="12.75" customHeight="1">
      <c r="A251" s="2"/>
      <c r="B251" s="2"/>
      <c r="D251" s="2"/>
      <c r="E251" s="2"/>
      <c r="I251" s="2"/>
      <c r="J251" s="2"/>
    </row>
    <row r="252" spans="1:10" ht="12.75" customHeight="1">
      <c r="A252" s="2"/>
      <c r="B252" s="2"/>
      <c r="D252" s="2"/>
      <c r="E252" s="2"/>
      <c r="I252" s="2"/>
      <c r="J252" s="2"/>
    </row>
    <row r="253" spans="1:10" ht="12.75" customHeight="1">
      <c r="A253" s="2"/>
      <c r="B253" s="2"/>
      <c r="D253" s="2"/>
      <c r="E253" s="2"/>
      <c r="I253" s="2"/>
      <c r="J253" s="2"/>
    </row>
    <row r="254" spans="1:10" ht="12.75" customHeight="1">
      <c r="A254" s="2"/>
      <c r="B254" s="2"/>
      <c r="D254" s="2"/>
      <c r="E254" s="2"/>
      <c r="I254" s="2"/>
      <c r="J254" s="2"/>
    </row>
    <row r="255" spans="1:10" ht="12.75" customHeight="1">
      <c r="A255" s="2"/>
      <c r="B255" s="2"/>
      <c r="D255" s="2"/>
      <c r="E255" s="2"/>
      <c r="I255" s="2"/>
      <c r="J255" s="2"/>
    </row>
    <row r="256" spans="1:10" ht="12.75" customHeight="1">
      <c r="A256" s="2"/>
      <c r="B256" s="2"/>
      <c r="D256" s="2"/>
      <c r="E256" s="2"/>
      <c r="I256" s="2"/>
      <c r="J256" s="2"/>
    </row>
    <row r="257" spans="1:10" ht="12.75" customHeight="1">
      <c r="A257" s="2"/>
      <c r="B257" s="2"/>
      <c r="D257" s="2"/>
      <c r="E257" s="2"/>
      <c r="I257" s="2"/>
      <c r="J257" s="2"/>
    </row>
    <row r="258" spans="1:10" ht="12.75" customHeight="1">
      <c r="A258" s="2"/>
      <c r="B258" s="2"/>
      <c r="D258" s="2"/>
      <c r="E258" s="2"/>
      <c r="I258" s="2"/>
      <c r="J258" s="2"/>
    </row>
    <row r="259" spans="1:10" ht="12.75" customHeight="1">
      <c r="A259" s="2"/>
      <c r="B259" s="2"/>
      <c r="D259" s="2"/>
      <c r="E259" s="2"/>
      <c r="I259" s="2"/>
      <c r="J259" s="2"/>
    </row>
    <row r="260" spans="1:10" ht="12.75" customHeight="1">
      <c r="A260" s="2"/>
      <c r="B260" s="2"/>
      <c r="D260" s="2"/>
      <c r="E260" s="2"/>
      <c r="I260" s="2"/>
      <c r="J260" s="2"/>
    </row>
    <row r="261" spans="1:10" ht="12.75" customHeight="1">
      <c r="A261" s="2"/>
      <c r="B261" s="2"/>
      <c r="D261" s="2"/>
      <c r="E261" s="2"/>
      <c r="I261" s="2"/>
      <c r="J261" s="2"/>
    </row>
    <row r="262" spans="1:10" ht="12.75" customHeight="1">
      <c r="A262" s="2"/>
      <c r="B262" s="2"/>
      <c r="D262" s="2"/>
      <c r="E262" s="2"/>
      <c r="I262" s="2"/>
      <c r="J262" s="2"/>
    </row>
    <row r="263" spans="1:10" ht="12.75" customHeight="1">
      <c r="A263" s="2"/>
      <c r="B263" s="2"/>
      <c r="D263" s="2"/>
      <c r="E263" s="2"/>
      <c r="I263" s="2"/>
      <c r="J263" s="2"/>
    </row>
    <row r="264" spans="1:10" ht="12.75" customHeight="1">
      <c r="A264" s="2"/>
      <c r="B264" s="2"/>
      <c r="D264" s="2"/>
      <c r="E264" s="2"/>
      <c r="I264" s="2"/>
      <c r="J264" s="2"/>
    </row>
    <row r="265" spans="1:10" ht="12.75" customHeight="1">
      <c r="A265" s="2"/>
      <c r="B265" s="2"/>
      <c r="D265" s="2"/>
      <c r="E265" s="2"/>
      <c r="I265" s="2"/>
      <c r="J265" s="2"/>
    </row>
    <row r="266" spans="1:10">
      <c r="A266" s="2"/>
      <c r="B266" s="2"/>
      <c r="D266" s="2"/>
      <c r="E266" s="2"/>
      <c r="I266" s="2"/>
      <c r="J266" s="2"/>
    </row>
    <row r="267" spans="1:10">
      <c r="A267" s="5"/>
      <c r="B267" s="5"/>
      <c r="C267" s="5"/>
      <c r="D267" s="5"/>
      <c r="E267" s="5"/>
      <c r="F267" s="5"/>
      <c r="G267" s="5"/>
      <c r="H267" s="5"/>
      <c r="I267" s="5"/>
      <c r="J267" s="5"/>
    </row>
    <row r="268" spans="1:10">
      <c r="A268" s="2"/>
      <c r="B268" s="2"/>
      <c r="D268" s="2"/>
      <c r="E268" s="2"/>
      <c r="I268" s="2"/>
      <c r="J268" s="2"/>
    </row>
    <row r="269" spans="1:10" ht="12.75" customHeight="1">
      <c r="A269" s="2"/>
      <c r="B269" s="2"/>
      <c r="D269" s="2"/>
      <c r="E269" s="2"/>
      <c r="I269" s="2"/>
      <c r="J269" s="2"/>
    </row>
    <row r="270" spans="1:10" ht="12.75" customHeight="1">
      <c r="A270" s="2"/>
      <c r="B270" s="2"/>
      <c r="D270" s="2"/>
      <c r="E270" s="2"/>
      <c r="I270" s="2"/>
      <c r="J270" s="2"/>
    </row>
    <row r="271" spans="1:10" ht="12.75" customHeight="1">
      <c r="A271" s="2"/>
      <c r="B271" s="2"/>
      <c r="D271" s="2"/>
      <c r="E271" s="2"/>
      <c r="I271" s="2"/>
      <c r="J271" s="2"/>
    </row>
    <row r="272" spans="1:10" ht="12.75" customHeight="1">
      <c r="A272" s="2"/>
      <c r="B272" s="2"/>
      <c r="D272" s="2"/>
      <c r="E272" s="2"/>
      <c r="I272" s="2"/>
      <c r="J272" s="2"/>
    </row>
    <row r="273" spans="1:10" s="5" customFormat="1" ht="12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</row>
    <row r="274" spans="1:10" ht="12.75" customHeight="1">
      <c r="A274" s="2"/>
      <c r="B274" s="2"/>
      <c r="D274" s="2"/>
      <c r="E274" s="2"/>
      <c r="I274" s="2"/>
      <c r="J274" s="2"/>
    </row>
    <row r="275" spans="1:10" ht="12.75" customHeight="1">
      <c r="A275" s="2"/>
      <c r="B275" s="2"/>
      <c r="D275" s="2"/>
      <c r="E275" s="2"/>
      <c r="I275" s="2"/>
      <c r="J275" s="2"/>
    </row>
    <row r="276" spans="1:10" ht="12.75" customHeight="1">
      <c r="A276" s="2"/>
      <c r="B276" s="2"/>
      <c r="D276" s="2"/>
      <c r="E276" s="2"/>
      <c r="I276" s="2"/>
      <c r="J276" s="2"/>
    </row>
    <row r="277" spans="1:10" ht="12.75" customHeight="1">
      <c r="A277" s="2"/>
      <c r="B277" s="2"/>
      <c r="D277" s="2"/>
      <c r="E277" s="2"/>
      <c r="I277" s="2"/>
      <c r="J277" s="2"/>
    </row>
    <row r="278" spans="1:10" ht="12.75" customHeight="1">
      <c r="A278" s="2"/>
      <c r="B278" s="2"/>
      <c r="D278" s="2"/>
      <c r="E278" s="2"/>
      <c r="I278" s="2"/>
      <c r="J278" s="2"/>
    </row>
    <row r="279" spans="1:10" ht="12.75" customHeight="1">
      <c r="A279" s="2"/>
      <c r="B279" s="2"/>
      <c r="D279" s="2"/>
      <c r="E279" s="2"/>
      <c r="I279" s="2"/>
      <c r="J279" s="2"/>
    </row>
    <row r="280" spans="1:10" ht="12.75" customHeight="1">
      <c r="A280" s="2"/>
      <c r="B280" s="2"/>
      <c r="D280" s="2"/>
      <c r="E280" s="2"/>
      <c r="I280" s="2"/>
      <c r="J280" s="2"/>
    </row>
    <row r="281" spans="1:10" ht="12.75" customHeight="1">
      <c r="A281" s="2"/>
      <c r="B281" s="2"/>
      <c r="D281" s="2"/>
      <c r="E281" s="2"/>
      <c r="I281" s="2"/>
      <c r="J281" s="2"/>
    </row>
    <row r="282" spans="1:10" ht="12.75" customHeight="1">
      <c r="A282" s="2"/>
      <c r="B282" s="2"/>
      <c r="D282" s="2"/>
      <c r="E282" s="2"/>
      <c r="I282" s="2"/>
      <c r="J282" s="2"/>
    </row>
    <row r="283" spans="1:10" ht="12.75" customHeight="1">
      <c r="A283" s="2"/>
      <c r="B283" s="2"/>
      <c r="D283" s="2"/>
      <c r="E283" s="2"/>
      <c r="I283" s="2"/>
      <c r="J283" s="2"/>
    </row>
    <row r="284" spans="1:10" ht="12.75" customHeight="1">
      <c r="A284" s="2"/>
      <c r="B284" s="2"/>
      <c r="D284" s="2"/>
      <c r="E284" s="2"/>
      <c r="I284" s="2"/>
      <c r="J284" s="2"/>
    </row>
    <row r="285" spans="1:10" ht="12.75" customHeight="1">
      <c r="A285" s="2"/>
      <c r="B285" s="2"/>
      <c r="D285" s="2"/>
      <c r="E285" s="2"/>
      <c r="I285" s="2"/>
      <c r="J285" s="2"/>
    </row>
    <row r="286" spans="1:10" ht="12.75" customHeight="1">
      <c r="A286" s="2"/>
      <c r="B286" s="2"/>
      <c r="D286" s="2"/>
      <c r="E286" s="2"/>
      <c r="I286" s="2"/>
      <c r="J286" s="2"/>
    </row>
    <row r="287" spans="1:10" ht="12.75" customHeight="1">
      <c r="A287" s="2"/>
      <c r="B287" s="2"/>
      <c r="D287" s="2"/>
      <c r="E287" s="2"/>
      <c r="I287" s="2"/>
      <c r="J287" s="2"/>
    </row>
    <row r="288" spans="1:10" ht="12.75" customHeight="1">
      <c r="A288" s="2"/>
      <c r="B288" s="2"/>
      <c r="D288" s="2"/>
      <c r="E288" s="2"/>
      <c r="I288" s="2"/>
      <c r="J288" s="2"/>
    </row>
    <row r="289" spans="1:10" ht="12.75" customHeight="1">
      <c r="A289" s="2"/>
      <c r="B289" s="2"/>
      <c r="D289" s="2"/>
      <c r="E289" s="2"/>
      <c r="I289" s="2"/>
      <c r="J289" s="2"/>
    </row>
    <row r="290" spans="1:10" ht="12.75" customHeight="1">
      <c r="A290" s="2"/>
      <c r="B290" s="2"/>
      <c r="D290" s="2"/>
      <c r="E290" s="2"/>
      <c r="I290" s="2"/>
      <c r="J290" s="2"/>
    </row>
    <row r="291" spans="1:10" ht="12.75" customHeight="1">
      <c r="A291" s="2"/>
      <c r="B291" s="2"/>
      <c r="D291" s="2"/>
      <c r="E291" s="2"/>
      <c r="I291" s="2"/>
      <c r="J291" s="2"/>
    </row>
    <row r="292" spans="1:10" ht="12.75" customHeight="1">
      <c r="A292" s="2"/>
      <c r="B292" s="2"/>
      <c r="D292" s="2"/>
      <c r="E292" s="2"/>
      <c r="I292" s="2"/>
      <c r="J292" s="2"/>
    </row>
    <row r="293" spans="1:10" ht="12.75" customHeight="1">
      <c r="A293" s="2"/>
      <c r="B293" s="2"/>
      <c r="D293" s="2"/>
      <c r="E293" s="2"/>
      <c r="I293" s="2"/>
      <c r="J293" s="2"/>
    </row>
    <row r="294" spans="1:10" ht="12.75" customHeight="1">
      <c r="A294" s="2"/>
      <c r="B294" s="2"/>
      <c r="D294" s="2"/>
      <c r="E294" s="2"/>
      <c r="I294" s="2"/>
      <c r="J294" s="2"/>
    </row>
    <row r="295" spans="1:10">
      <c r="A295" s="2"/>
      <c r="B295" s="2"/>
      <c r="D295" s="2"/>
      <c r="E295" s="2"/>
      <c r="I295" s="2"/>
      <c r="J295" s="2"/>
    </row>
    <row r="296" spans="1:10">
      <c r="A296" s="5"/>
      <c r="B296" s="5"/>
      <c r="C296" s="5"/>
      <c r="D296" s="5"/>
      <c r="E296" s="5"/>
      <c r="F296" s="5"/>
      <c r="G296" s="5"/>
      <c r="H296" s="5"/>
      <c r="I296" s="5"/>
      <c r="J296" s="5"/>
    </row>
    <row r="297" spans="1:10">
      <c r="A297" s="2"/>
      <c r="B297" s="2"/>
      <c r="D297" s="2"/>
      <c r="E297" s="2"/>
      <c r="I297" s="2"/>
      <c r="J297" s="2"/>
    </row>
    <row r="298" spans="1:10" ht="12.75" customHeight="1">
      <c r="A298" s="2"/>
      <c r="B298" s="2"/>
      <c r="D298" s="2"/>
      <c r="E298" s="2"/>
      <c r="I298" s="2"/>
      <c r="J298" s="2"/>
    </row>
    <row r="299" spans="1:10" ht="12.75" customHeight="1">
      <c r="A299" s="2"/>
      <c r="B299" s="2"/>
      <c r="D299" s="2"/>
      <c r="E299" s="2"/>
      <c r="I299" s="2"/>
      <c r="J299" s="2"/>
    </row>
    <row r="300" spans="1:10" ht="12.75" customHeight="1">
      <c r="A300" s="2"/>
      <c r="B300" s="2"/>
      <c r="D300" s="2"/>
      <c r="E300" s="2"/>
      <c r="I300" s="2"/>
      <c r="J300" s="2"/>
    </row>
    <row r="301" spans="1:10" ht="12.75" customHeight="1">
      <c r="A301" s="2"/>
      <c r="B301" s="2"/>
      <c r="D301" s="2"/>
      <c r="E301" s="2"/>
      <c r="I301" s="2"/>
      <c r="J301" s="2"/>
    </row>
    <row r="302" spans="1:10" s="5" customFormat="1" ht="12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</row>
    <row r="303" spans="1:10" ht="12.75" customHeight="1">
      <c r="A303" s="2"/>
      <c r="B303" s="2"/>
      <c r="D303" s="2"/>
      <c r="E303" s="2"/>
      <c r="I303" s="2"/>
      <c r="J303" s="2"/>
    </row>
    <row r="304" spans="1:10" ht="12.75" customHeight="1">
      <c r="A304" s="2"/>
      <c r="B304" s="2"/>
      <c r="D304" s="2"/>
      <c r="E304" s="2"/>
      <c r="I304" s="2"/>
      <c r="J304" s="2"/>
    </row>
    <row r="305" spans="1:10" ht="12.75" customHeight="1">
      <c r="A305" s="2"/>
      <c r="B305" s="2"/>
      <c r="D305" s="2"/>
      <c r="E305" s="2"/>
      <c r="I305" s="2"/>
      <c r="J305" s="2"/>
    </row>
    <row r="306" spans="1:10" ht="12.75" customHeight="1">
      <c r="A306" s="2"/>
      <c r="B306" s="2"/>
      <c r="D306" s="2"/>
      <c r="E306" s="2"/>
      <c r="I306" s="2"/>
      <c r="J306" s="2"/>
    </row>
    <row r="307" spans="1:10" ht="12.75" customHeight="1">
      <c r="A307" s="2"/>
      <c r="B307" s="2"/>
      <c r="D307" s="2"/>
      <c r="E307" s="2"/>
      <c r="I307" s="2"/>
      <c r="J307" s="2"/>
    </row>
    <row r="308" spans="1:10" ht="12.75" customHeight="1">
      <c r="A308" s="2"/>
      <c r="B308" s="2"/>
      <c r="D308" s="2"/>
      <c r="E308" s="2"/>
      <c r="I308" s="2"/>
      <c r="J308" s="2"/>
    </row>
    <row r="309" spans="1:10" ht="12.75" customHeight="1">
      <c r="A309" s="2"/>
      <c r="B309" s="2"/>
      <c r="D309" s="2"/>
      <c r="E309" s="2"/>
      <c r="I309" s="2"/>
      <c r="J309" s="2"/>
    </row>
    <row r="310" spans="1:10" ht="12.75" customHeight="1">
      <c r="A310" s="2"/>
      <c r="B310" s="2"/>
      <c r="D310" s="2"/>
      <c r="E310" s="2"/>
      <c r="I310" s="2"/>
      <c r="J310" s="2"/>
    </row>
    <row r="311" spans="1:10" ht="12.75" customHeight="1">
      <c r="A311" s="2"/>
      <c r="B311" s="2"/>
      <c r="D311" s="2"/>
      <c r="E311" s="2"/>
      <c r="I311" s="2"/>
      <c r="J311" s="2"/>
    </row>
    <row r="312" spans="1:10" ht="12.75" customHeight="1">
      <c r="A312" s="2"/>
      <c r="B312" s="2"/>
      <c r="D312" s="2"/>
      <c r="E312" s="2"/>
      <c r="I312" s="2"/>
      <c r="J312" s="2"/>
    </row>
    <row r="313" spans="1:10" ht="12.75" customHeight="1">
      <c r="A313" s="2"/>
      <c r="B313" s="2"/>
      <c r="D313" s="2"/>
      <c r="E313" s="2"/>
      <c r="I313" s="2"/>
      <c r="J313" s="2"/>
    </row>
    <row r="314" spans="1:10" ht="12.75" customHeight="1">
      <c r="A314" s="2"/>
      <c r="B314" s="2"/>
      <c r="D314" s="2"/>
      <c r="E314" s="2"/>
      <c r="I314" s="2"/>
      <c r="J314" s="2"/>
    </row>
    <row r="315" spans="1:10" ht="12.75" customHeight="1">
      <c r="A315" s="2"/>
      <c r="B315" s="2"/>
      <c r="D315" s="2"/>
      <c r="E315" s="2"/>
      <c r="I315" s="2"/>
      <c r="J315" s="2"/>
    </row>
    <row r="316" spans="1:10" ht="12.75" customHeight="1">
      <c r="A316" s="2"/>
      <c r="B316" s="2"/>
      <c r="D316" s="2"/>
      <c r="E316" s="2"/>
      <c r="I316" s="2"/>
      <c r="J316" s="2"/>
    </row>
    <row r="317" spans="1:10" ht="12.75" customHeight="1"/>
    <row r="318" spans="1:10" ht="12.75" customHeight="1"/>
    <row r="319" spans="1:10" ht="12.75" customHeight="1"/>
    <row r="320" spans="1:10" ht="12.75" customHeight="1"/>
  </sheetData>
  <mergeCells count="7">
    <mergeCell ref="A25:J25"/>
    <mergeCell ref="C58:E58"/>
    <mergeCell ref="L35:M35"/>
    <mergeCell ref="A26:I26"/>
    <mergeCell ref="A27:I27"/>
    <mergeCell ref="A28:I28"/>
    <mergeCell ref="D29:E29"/>
  </mergeCells>
  <conditionalFormatting sqref="A31:B38 D31:J32 D40:F43 D49:F52 D33:F34 G33:G56 D37:F38 F35:F36 D46:F47 F44:F45 D55:F56 F53:F54 H33:J38">
    <cfRule type="expression" dxfId="94" priority="30">
      <formula>$A31=""</formula>
    </cfRule>
  </conditionalFormatting>
  <conditionalFormatting sqref="C31:C38">
    <cfRule type="expression" dxfId="93" priority="19">
      <formula>$A31=""</formula>
    </cfRule>
  </conditionalFormatting>
  <conditionalFormatting sqref="A40:A47 H40:J47">
    <cfRule type="expression" dxfId="92" priority="18">
      <formula>$A40=""</formula>
    </cfRule>
  </conditionalFormatting>
  <conditionalFormatting sqref="C40:C47">
    <cfRule type="expression" dxfId="91" priority="17">
      <formula>$A40=""</formula>
    </cfRule>
  </conditionalFormatting>
  <conditionalFormatting sqref="A49:A56 H49:J56">
    <cfRule type="expression" dxfId="90" priority="16">
      <formula>$A49=""</formula>
    </cfRule>
  </conditionalFormatting>
  <conditionalFormatting sqref="C49:C56">
    <cfRule type="expression" dxfId="89" priority="15">
      <formula>$A49=""</formula>
    </cfRule>
  </conditionalFormatting>
  <conditionalFormatting sqref="C59">
    <cfRule type="expression" dxfId="88" priority="14">
      <formula>$A31=""</formula>
    </cfRule>
  </conditionalFormatting>
  <conditionalFormatting sqref="B40:B47">
    <cfRule type="expression" dxfId="87" priority="11">
      <formula>$A40=""</formula>
    </cfRule>
  </conditionalFormatting>
  <conditionalFormatting sqref="B49:B56">
    <cfRule type="expression" dxfId="86" priority="10">
      <formula>$A49=""</formula>
    </cfRule>
  </conditionalFormatting>
  <conditionalFormatting sqref="C60:C63">
    <cfRule type="expression" dxfId="85" priority="9">
      <formula>$A32=""</formula>
    </cfRule>
  </conditionalFormatting>
  <conditionalFormatting sqref="D35:E36">
    <cfRule type="expression" dxfId="84" priority="8">
      <formula>$A35=""</formula>
    </cfRule>
  </conditionalFormatting>
  <conditionalFormatting sqref="D44:E45">
    <cfRule type="expression" dxfId="83" priority="7">
      <formula>$A44=""</formula>
    </cfRule>
  </conditionalFormatting>
  <conditionalFormatting sqref="D53:E54">
    <cfRule type="expression" dxfId="82" priority="6">
      <formula>$A53=""</formula>
    </cfRule>
  </conditionalFormatting>
  <dataValidations count="1">
    <dataValidation type="list" allowBlank="1" showInputMessage="1" showErrorMessage="1" sqref="J30:J56 E59:E63" xr:uid="{00000000-0002-0000-0500-000000000000}">
      <formula1>$R$2:$R$22</formula1>
    </dataValidation>
  </dataValidations>
  <printOptions horizontalCentered="1"/>
  <pageMargins left="0" right="0" top="0.74803149606299213" bottom="0.74803149606299213" header="0.31496062992125984" footer="0.31496062992125984"/>
  <pageSetup paperSize="9" fitToHeight="0" orientation="landscape" r:id="rId1"/>
  <rowBreaks count="1" manualBreakCount="1">
    <brk id="64" max="9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92D050"/>
    <pageSetUpPr fitToPage="1"/>
  </sheetPr>
  <dimension ref="A1:S59"/>
  <sheetViews>
    <sheetView view="pageBreakPreview" topLeftCell="A30" zoomScale="110" zoomScaleNormal="115" zoomScaleSheetLayoutView="110" workbookViewId="0">
      <selection activeCell="C44" sqref="C44"/>
    </sheetView>
  </sheetViews>
  <sheetFormatPr defaultColWidth="9.109375" defaultRowHeight="15.6"/>
  <cols>
    <col min="1" max="1" width="6.44140625" style="1" customWidth="1"/>
    <col min="2" max="2" width="3.6640625" style="1" hidden="1" customWidth="1"/>
    <col min="3" max="3" width="32.109375" style="2" customWidth="1"/>
    <col min="4" max="4" width="12.44140625" style="1" customWidth="1"/>
    <col min="5" max="5" width="28" style="1" bestFit="1" customWidth="1"/>
    <col min="6" max="6" width="6" style="2" bestFit="1" customWidth="1"/>
    <col min="7" max="7" width="8.6640625" style="302" customWidth="1"/>
    <col min="8" max="8" width="5.6640625" style="2" customWidth="1"/>
    <col min="9" max="9" width="14" style="35" bestFit="1" customWidth="1"/>
    <col min="10" max="10" width="10.44140625" style="35" customWidth="1"/>
    <col min="11" max="11" width="20.33203125" bestFit="1" customWidth="1"/>
    <col min="12" max="12" width="32.33203125" style="2" bestFit="1" customWidth="1"/>
    <col min="13" max="16384" width="9.109375" style="2"/>
  </cols>
  <sheetData>
    <row r="1" spans="1:19" ht="16.8" hidden="1">
      <c r="I1" s="32"/>
      <c r="J1" s="32"/>
      <c r="R1" s="3" t="s">
        <v>13</v>
      </c>
      <c r="S1" s="4" t="s">
        <v>19</v>
      </c>
    </row>
    <row r="2" spans="1:19" s="5" customFormat="1" ht="16.8" hidden="1">
      <c r="G2" s="303"/>
      <c r="I2" s="32"/>
      <c r="J2" s="32"/>
      <c r="K2"/>
      <c r="R2" s="6" t="s">
        <v>2</v>
      </c>
      <c r="S2" s="7">
        <v>1</v>
      </c>
    </row>
    <row r="3" spans="1:19" s="5" customFormat="1" ht="16.8" hidden="1">
      <c r="G3" s="303"/>
      <c r="I3" s="32"/>
      <c r="J3" s="32"/>
      <c r="K3"/>
      <c r="R3" s="6" t="s">
        <v>0</v>
      </c>
      <c r="S3" s="7">
        <v>1</v>
      </c>
    </row>
    <row r="4" spans="1:19" s="5" customFormat="1" ht="16.8" hidden="1">
      <c r="G4" s="303"/>
      <c r="I4" s="32"/>
      <c r="J4" s="32"/>
      <c r="K4"/>
      <c r="R4" s="6" t="s">
        <v>5</v>
      </c>
      <c r="S4" s="7">
        <v>1</v>
      </c>
    </row>
    <row r="5" spans="1:19" ht="16.8" hidden="1">
      <c r="I5" s="32"/>
      <c r="J5" s="32"/>
      <c r="R5" s="3" t="s">
        <v>6</v>
      </c>
      <c r="S5" s="4">
        <v>0.01</v>
      </c>
    </row>
    <row r="6" spans="1:19" ht="16.8" hidden="1">
      <c r="I6" s="32"/>
      <c r="J6" s="32"/>
      <c r="R6" s="3" t="s">
        <v>7</v>
      </c>
      <c r="S6" s="4">
        <v>0.01</v>
      </c>
    </row>
    <row r="7" spans="1:19" s="5" customFormat="1" ht="16.8" hidden="1">
      <c r="G7" s="303"/>
      <c r="I7" s="32"/>
      <c r="J7" s="32"/>
      <c r="K7"/>
      <c r="R7" s="3" t="s">
        <v>4</v>
      </c>
      <c r="S7" s="4">
        <v>0.01</v>
      </c>
    </row>
    <row r="8" spans="1:19" s="5" customFormat="1" ht="16.8" hidden="1">
      <c r="G8" s="303"/>
      <c r="I8" s="32"/>
      <c r="J8" s="32"/>
      <c r="K8"/>
      <c r="R8" s="3" t="s">
        <v>10</v>
      </c>
      <c r="S8" s="4">
        <v>1E-3</v>
      </c>
    </row>
    <row r="9" spans="1:19" ht="16.8" hidden="1">
      <c r="I9" s="32"/>
      <c r="J9" s="32"/>
      <c r="R9" s="3" t="s">
        <v>14</v>
      </c>
      <c r="S9" s="4">
        <v>1</v>
      </c>
    </row>
    <row r="10" spans="1:19" ht="16.8" hidden="1">
      <c r="I10" s="32"/>
      <c r="J10" s="32"/>
      <c r="R10" s="3" t="s">
        <v>15</v>
      </c>
      <c r="S10" s="4">
        <v>1</v>
      </c>
    </row>
    <row r="11" spans="1:19" ht="16.8" hidden="1">
      <c r="I11" s="32"/>
      <c r="J11" s="32"/>
      <c r="R11" s="3" t="s">
        <v>22</v>
      </c>
      <c r="S11" s="4">
        <v>1</v>
      </c>
    </row>
    <row r="12" spans="1:19" ht="16.8" hidden="1">
      <c r="I12" s="32"/>
      <c r="J12" s="32"/>
      <c r="R12" s="3" t="s">
        <v>23</v>
      </c>
      <c r="S12" s="4">
        <v>1</v>
      </c>
    </row>
    <row r="13" spans="1:19" ht="16.8" hidden="1">
      <c r="I13" s="32"/>
      <c r="J13" s="32"/>
      <c r="R13" s="3" t="s">
        <v>24</v>
      </c>
      <c r="S13" s="4">
        <v>1</v>
      </c>
    </row>
    <row r="14" spans="1:19" ht="16.8" hidden="1">
      <c r="I14" s="32"/>
      <c r="J14" s="32"/>
      <c r="R14" s="3" t="s">
        <v>16</v>
      </c>
      <c r="S14" s="4">
        <v>1</v>
      </c>
    </row>
    <row r="15" spans="1:19" ht="16.8" hidden="1">
      <c r="A15" s="2"/>
      <c r="B15" s="2"/>
      <c r="D15" s="2"/>
      <c r="E15" s="2"/>
      <c r="I15" s="31"/>
      <c r="J15" s="31"/>
      <c r="R15" s="3" t="s">
        <v>21</v>
      </c>
      <c r="S15" s="4">
        <v>1</v>
      </c>
    </row>
    <row r="16" spans="1:19" ht="16.8" hidden="1">
      <c r="I16" s="32"/>
      <c r="J16" s="32"/>
      <c r="R16" s="3" t="s">
        <v>25</v>
      </c>
      <c r="S16" s="4">
        <v>1</v>
      </c>
    </row>
    <row r="17" spans="1:19" ht="16.8" hidden="1">
      <c r="I17" s="32"/>
      <c r="J17" s="32"/>
      <c r="R17" s="8" t="s">
        <v>17</v>
      </c>
      <c r="S17" s="9">
        <v>1</v>
      </c>
    </row>
    <row r="18" spans="1:19" ht="16.8" hidden="1">
      <c r="I18" s="32"/>
      <c r="J18" s="32"/>
      <c r="R18" s="8" t="s">
        <v>26</v>
      </c>
      <c r="S18" s="9">
        <v>1</v>
      </c>
    </row>
    <row r="19" spans="1:19" ht="16.8" hidden="1">
      <c r="I19" s="32"/>
      <c r="J19" s="32"/>
      <c r="R19" s="3"/>
      <c r="S19" s="4"/>
    </row>
    <row r="20" spans="1:19" ht="16.8" hidden="1">
      <c r="A20" s="2"/>
      <c r="B20" s="2"/>
      <c r="D20" s="2"/>
      <c r="E20" s="2"/>
      <c r="I20" s="31"/>
      <c r="J20" s="31"/>
      <c r="R20" s="3"/>
      <c r="S20" s="4"/>
    </row>
    <row r="21" spans="1:19" ht="16.8" hidden="1">
      <c r="I21" s="32"/>
      <c r="J21" s="32"/>
      <c r="R21" s="3"/>
      <c r="S21" s="4"/>
    </row>
    <row r="22" spans="1:19" ht="16.8" hidden="1">
      <c r="I22" s="32"/>
      <c r="J22" s="32"/>
      <c r="R22" s="3"/>
      <c r="S22" s="4"/>
    </row>
    <row r="23" spans="1:19" hidden="1">
      <c r="A23" s="2"/>
      <c r="B23" s="2"/>
      <c r="D23" s="2"/>
      <c r="E23" s="2"/>
      <c r="I23" s="31"/>
      <c r="J23" s="31"/>
      <c r="L23" s="11"/>
    </row>
    <row r="24" spans="1:19" hidden="1">
      <c r="A24" s="2"/>
      <c r="B24" s="2"/>
      <c r="D24" s="2"/>
      <c r="E24" s="2"/>
      <c r="I24" s="31"/>
      <c r="J24" s="31"/>
    </row>
    <row r="25" spans="1:19" ht="17.399999999999999">
      <c r="A25" s="331" t="s">
        <v>201</v>
      </c>
      <c r="B25" s="331"/>
      <c r="C25" s="331"/>
      <c r="D25" s="331"/>
      <c r="E25" s="331"/>
      <c r="F25" s="331"/>
      <c r="G25" s="331"/>
      <c r="H25" s="331"/>
      <c r="I25" s="331"/>
      <c r="J25" s="60"/>
    </row>
    <row r="26" spans="1:19" hidden="1">
      <c r="A26" s="332" t="s">
        <v>28</v>
      </c>
      <c r="B26" s="332"/>
      <c r="C26" s="332"/>
      <c r="D26" s="332"/>
      <c r="E26" s="332"/>
      <c r="F26" s="332"/>
      <c r="G26" s="332"/>
      <c r="H26" s="332"/>
      <c r="I26" s="332"/>
      <c r="J26" s="61"/>
    </row>
    <row r="27" spans="1:19" s="12" customFormat="1" hidden="1">
      <c r="A27" s="349" t="s">
        <v>29</v>
      </c>
      <c r="B27" s="349"/>
      <c r="C27" s="349"/>
      <c r="D27" s="349"/>
      <c r="E27" s="349"/>
      <c r="F27" s="349"/>
      <c r="G27" s="349"/>
      <c r="H27" s="349"/>
      <c r="I27" s="349"/>
      <c r="J27" s="59"/>
      <c r="K27"/>
    </row>
    <row r="28" spans="1:19" s="12" customFormat="1">
      <c r="A28" s="350"/>
      <c r="B28" s="350"/>
      <c r="C28" s="350"/>
      <c r="D28" s="350"/>
      <c r="E28" s="350"/>
      <c r="F28" s="350"/>
      <c r="G28" s="350"/>
      <c r="H28" s="350"/>
      <c r="I28" s="350"/>
      <c r="J28" s="40"/>
      <c r="K28"/>
    </row>
    <row r="29" spans="1:19" s="16" customFormat="1" ht="26.4">
      <c r="A29" s="13" t="s">
        <v>3</v>
      </c>
      <c r="B29" s="14" t="s">
        <v>18</v>
      </c>
      <c r="C29" s="13" t="s">
        <v>11</v>
      </c>
      <c r="D29" s="351" t="s">
        <v>30</v>
      </c>
      <c r="E29" s="352"/>
      <c r="F29" s="13" t="s">
        <v>20</v>
      </c>
      <c r="G29" s="304" t="s">
        <v>31</v>
      </c>
      <c r="H29" s="76" t="s">
        <v>32</v>
      </c>
      <c r="I29" s="33" t="s">
        <v>8</v>
      </c>
      <c r="J29" s="13" t="s">
        <v>9</v>
      </c>
      <c r="K29"/>
    </row>
    <row r="30" spans="1:19" ht="27.75" customHeight="1">
      <c r="A30" s="262" t="s">
        <v>1</v>
      </c>
      <c r="B30" s="262"/>
      <c r="C30" s="64" t="s">
        <v>501</v>
      </c>
      <c r="E30" s="262"/>
      <c r="F30" s="7"/>
      <c r="G30" s="305"/>
      <c r="H30" s="17"/>
      <c r="I30" s="300">
        <v>541</v>
      </c>
      <c r="J30" s="262" t="s">
        <v>15</v>
      </c>
      <c r="L30"/>
      <c r="M30"/>
      <c r="N30"/>
    </row>
    <row r="31" spans="1:19" s="98" customFormat="1">
      <c r="A31" s="72">
        <f>IF(LEN(B31)=0," ",COUNTA($B$30:B31))</f>
        <v>1</v>
      </c>
      <c r="B31" s="72">
        <v>1</v>
      </c>
      <c r="C31" s="65" t="s">
        <v>202</v>
      </c>
      <c r="D31" s="72" t="s">
        <v>56</v>
      </c>
      <c r="E31" s="72" t="s">
        <v>503</v>
      </c>
      <c r="F31" s="62">
        <f>VLOOKUP(J31,$R$2:$S$22,2,0)</f>
        <v>1</v>
      </c>
      <c r="G31" s="23">
        <f ca="1">Eval(E31)*F31</f>
        <v>4.3849999999999989</v>
      </c>
      <c r="H31" s="29">
        <v>541</v>
      </c>
      <c r="I31" s="299">
        <f ca="1">ROUND(G31*H31,3)</f>
        <v>2372.2849999999999</v>
      </c>
      <c r="J31" s="72" t="s">
        <v>5</v>
      </c>
      <c r="K31" s="110"/>
      <c r="L31" s="110"/>
      <c r="M31" s="110"/>
      <c r="N31" s="110"/>
    </row>
    <row r="32" spans="1:19" s="98" customFormat="1">
      <c r="A32" s="72">
        <f>IF(LEN(B32)=0," ",COUNTA($B$30:B32))</f>
        <v>2</v>
      </c>
      <c r="B32" s="72">
        <v>2</v>
      </c>
      <c r="C32" s="65" t="s">
        <v>203</v>
      </c>
      <c r="D32" s="72" t="s">
        <v>204</v>
      </c>
      <c r="E32" s="4" t="s">
        <v>505</v>
      </c>
      <c r="F32" s="62">
        <f t="shared" ref="F32:F43" si="0">VLOOKUP(J32,$R$2:$S$22,2,0)</f>
        <v>0.01</v>
      </c>
      <c r="G32" s="23">
        <f ca="1">Eval(E32)*F32</f>
        <v>0.25837499999999997</v>
      </c>
      <c r="H32" s="29">
        <v>541</v>
      </c>
      <c r="I32" s="299">
        <f t="shared" ref="I32:I43" ca="1" si="1">ROUND(G32*H32,3)</f>
        <v>139.78100000000001</v>
      </c>
      <c r="J32" s="72" t="s">
        <v>4</v>
      </c>
      <c r="K32" s="110"/>
      <c r="L32" s="110"/>
      <c r="M32" s="110"/>
      <c r="N32" s="110"/>
    </row>
    <row r="33" spans="1:14" s="98" customFormat="1">
      <c r="A33" s="72">
        <f>IF(LEN(B33)=0," ",COUNTA($B$30:B33))</f>
        <v>3</v>
      </c>
      <c r="B33" s="72">
        <v>3</v>
      </c>
      <c r="C33" s="65" t="s">
        <v>205</v>
      </c>
      <c r="D33" s="342" t="s">
        <v>59</v>
      </c>
      <c r="E33" s="343"/>
      <c r="F33" s="62">
        <f t="shared" si="0"/>
        <v>1E-3</v>
      </c>
      <c r="G33" s="23">
        <f>97.18*F33</f>
        <v>9.7180000000000002E-2</v>
      </c>
      <c r="H33" s="29">
        <v>541</v>
      </c>
      <c r="I33" s="299">
        <f t="shared" si="1"/>
        <v>52.573999999999998</v>
      </c>
      <c r="J33" s="72" t="s">
        <v>10</v>
      </c>
      <c r="K33" s="110"/>
      <c r="L33" s="110"/>
      <c r="M33" s="110"/>
      <c r="N33" s="110"/>
    </row>
    <row r="34" spans="1:14" s="98" customFormat="1">
      <c r="A34" s="72">
        <f>IF(LEN(B34)=0," ",COUNTA($B$30:B34))</f>
        <v>4</v>
      </c>
      <c r="B34" s="72">
        <v>4</v>
      </c>
      <c r="C34" s="65" t="s">
        <v>206</v>
      </c>
      <c r="D34" s="342" t="s">
        <v>59</v>
      </c>
      <c r="E34" s="343"/>
      <c r="F34" s="62">
        <f t="shared" si="0"/>
        <v>1E-3</v>
      </c>
      <c r="G34" s="23">
        <f>50.67*F34</f>
        <v>5.067E-2</v>
      </c>
      <c r="H34" s="29">
        <v>541</v>
      </c>
      <c r="I34" s="299">
        <f t="shared" si="1"/>
        <v>27.411999999999999</v>
      </c>
      <c r="J34" s="72" t="s">
        <v>10</v>
      </c>
      <c r="K34" s="110"/>
      <c r="L34" s="110"/>
      <c r="M34" s="110"/>
      <c r="N34" s="110"/>
    </row>
    <row r="35" spans="1:14" s="98" customFormat="1">
      <c r="A35" s="72">
        <f>IF(LEN(B35)=0," ",COUNTA($B$30:B35))</f>
        <v>5</v>
      </c>
      <c r="B35" s="72">
        <v>5</v>
      </c>
      <c r="C35" s="65" t="s">
        <v>207</v>
      </c>
      <c r="D35" s="342" t="s">
        <v>59</v>
      </c>
      <c r="E35" s="343"/>
      <c r="F35" s="62">
        <f t="shared" si="0"/>
        <v>1E-3</v>
      </c>
      <c r="G35" s="23">
        <f>723.93*F35</f>
        <v>0.72392999999999996</v>
      </c>
      <c r="H35" s="29">
        <v>541</v>
      </c>
      <c r="I35" s="299">
        <f t="shared" si="1"/>
        <v>391.64600000000002</v>
      </c>
      <c r="J35" s="72" t="s">
        <v>10</v>
      </c>
      <c r="K35" s="110"/>
      <c r="L35" s="110"/>
      <c r="M35" s="110"/>
      <c r="N35" s="110"/>
    </row>
    <row r="36" spans="1:14" s="98" customFormat="1">
      <c r="A36" s="72">
        <f>IF(LEN(B36)=0," ",COUNTA($B$30:B36))</f>
        <v>6</v>
      </c>
      <c r="B36" s="72">
        <v>6</v>
      </c>
      <c r="C36" s="65" t="s">
        <v>507</v>
      </c>
      <c r="D36" s="342" t="s">
        <v>59</v>
      </c>
      <c r="E36" s="343"/>
      <c r="F36" s="62">
        <f t="shared" si="0"/>
        <v>1E-3</v>
      </c>
      <c r="G36" s="23">
        <f>48.83*F36</f>
        <v>4.8829999999999998E-2</v>
      </c>
      <c r="H36" s="29">
        <v>541</v>
      </c>
      <c r="I36" s="299">
        <f t="shared" si="1"/>
        <v>26.417000000000002</v>
      </c>
      <c r="J36" s="72" t="s">
        <v>10</v>
      </c>
      <c r="K36" s="110"/>
      <c r="L36" s="110"/>
      <c r="M36" s="110"/>
      <c r="N36" s="110"/>
    </row>
    <row r="37" spans="1:14" s="98" customFormat="1">
      <c r="A37" s="72">
        <f>IF(LEN(B37)=0," ",COUNTA($B$30:B37))</f>
        <v>7</v>
      </c>
      <c r="B37" s="72">
        <v>7</v>
      </c>
      <c r="C37" s="65" t="s">
        <v>354</v>
      </c>
      <c r="D37" s="342" t="s">
        <v>59</v>
      </c>
      <c r="E37" s="343"/>
      <c r="F37" s="62">
        <f t="shared" si="0"/>
        <v>1E-3</v>
      </c>
      <c r="G37" s="107">
        <f>216.29*F37</f>
        <v>0.21629000000000001</v>
      </c>
      <c r="H37" s="29">
        <v>1082</v>
      </c>
      <c r="I37" s="299">
        <f t="shared" si="1"/>
        <v>234.02600000000001</v>
      </c>
      <c r="J37" s="72" t="s">
        <v>10</v>
      </c>
      <c r="K37" s="110"/>
      <c r="L37" s="110"/>
      <c r="M37" s="110"/>
      <c r="N37" s="110"/>
    </row>
    <row r="38" spans="1:14" s="98" customFormat="1">
      <c r="A38" s="72">
        <f>IF(LEN(B38)=0," ",COUNTA($B$30:B38))</f>
        <v>8</v>
      </c>
      <c r="B38" s="72">
        <v>7</v>
      </c>
      <c r="C38" s="65" t="s">
        <v>355</v>
      </c>
      <c r="D38" s="342" t="s">
        <v>59</v>
      </c>
      <c r="E38" s="343"/>
      <c r="F38" s="62">
        <f t="shared" si="0"/>
        <v>1E-3</v>
      </c>
      <c r="G38" s="107">
        <f>15.07*F38</f>
        <v>1.507E-2</v>
      </c>
      <c r="H38" s="29">
        <v>1082</v>
      </c>
      <c r="I38" s="299">
        <f t="shared" si="1"/>
        <v>16.306000000000001</v>
      </c>
      <c r="J38" s="72" t="s">
        <v>10</v>
      </c>
      <c r="K38" s="110"/>
      <c r="L38" s="110"/>
      <c r="M38" s="110"/>
      <c r="N38" s="110"/>
    </row>
    <row r="39" spans="1:14" s="98" customFormat="1">
      <c r="A39" s="72">
        <f>IF(LEN(B39)=0," ",COUNTA($B$30:B39))</f>
        <v>9</v>
      </c>
      <c r="B39" s="72">
        <v>9</v>
      </c>
      <c r="C39" s="66" t="s">
        <v>209</v>
      </c>
      <c r="D39" s="342" t="s">
        <v>574</v>
      </c>
      <c r="E39" s="343"/>
      <c r="F39" s="62">
        <f t="shared" si="0"/>
        <v>0.01</v>
      </c>
      <c r="G39" s="107">
        <f>39*F39</f>
        <v>0.39</v>
      </c>
      <c r="H39" s="29">
        <v>188</v>
      </c>
      <c r="I39" s="299">
        <f t="shared" si="1"/>
        <v>73.319999999999993</v>
      </c>
      <c r="J39" s="72" t="s">
        <v>6</v>
      </c>
      <c r="K39" s="110"/>
      <c r="L39" s="110"/>
      <c r="M39" s="110"/>
      <c r="N39" s="110"/>
    </row>
    <row r="40" spans="1:14" s="98" customFormat="1">
      <c r="A40" s="72">
        <f>IF(LEN(B40)=0," ",COUNTA($B$30:B40))</f>
        <v>10</v>
      </c>
      <c r="B40" s="72">
        <v>10</v>
      </c>
      <c r="C40" s="66" t="s">
        <v>210</v>
      </c>
      <c r="D40" s="367" t="s">
        <v>575</v>
      </c>
      <c r="E40" s="368"/>
      <c r="F40" s="62">
        <f t="shared" si="0"/>
        <v>0.01</v>
      </c>
      <c r="G40" s="107">
        <f>39*F40</f>
        <v>0.39</v>
      </c>
      <c r="H40" s="29">
        <v>353</v>
      </c>
      <c r="I40" s="299">
        <f t="shared" si="1"/>
        <v>137.66999999999999</v>
      </c>
      <c r="J40" s="72" t="s">
        <v>6</v>
      </c>
      <c r="K40" s="110"/>
      <c r="L40" s="110"/>
      <c r="M40" s="110"/>
      <c r="N40" s="110"/>
    </row>
    <row r="41" spans="1:14" s="98" customFormat="1">
      <c r="A41" s="72">
        <f>IF(LEN(B41)=0," ",COUNTA($B$30:B41))</f>
        <v>11</v>
      </c>
      <c r="B41" s="72">
        <v>11</v>
      </c>
      <c r="C41" s="66" t="s">
        <v>211</v>
      </c>
      <c r="D41" s="72" t="s">
        <v>212</v>
      </c>
      <c r="E41" s="72" t="s">
        <v>604</v>
      </c>
      <c r="F41" s="62">
        <f t="shared" si="0"/>
        <v>1</v>
      </c>
      <c r="G41" s="107">
        <f ca="1">Eval(E41)*F41</f>
        <v>6.737499999999999E-2</v>
      </c>
      <c r="H41" s="29">
        <v>541</v>
      </c>
      <c r="I41" s="299">
        <f t="shared" ca="1" si="1"/>
        <v>36.450000000000003</v>
      </c>
      <c r="J41" s="72" t="s">
        <v>5</v>
      </c>
      <c r="K41" s="110"/>
      <c r="L41" s="110"/>
      <c r="M41" s="110"/>
      <c r="N41" s="110"/>
    </row>
    <row r="42" spans="1:14" s="98" customFormat="1">
      <c r="A42" s="72">
        <f>IF(LEN(B42)=0," ",COUNTA($B$30:B42))</f>
        <v>12</v>
      </c>
      <c r="B42" s="72">
        <v>12</v>
      </c>
      <c r="C42" s="66" t="s">
        <v>213</v>
      </c>
      <c r="D42" s="367"/>
      <c r="E42" s="368"/>
      <c r="F42" s="62">
        <f t="shared" si="0"/>
        <v>1E-3</v>
      </c>
      <c r="G42" s="107">
        <f ca="1">(G33+G34+G35+G36+G37+G38)+(G31*2.5)</f>
        <v>12.114469999999997</v>
      </c>
      <c r="H42" s="29">
        <v>541</v>
      </c>
      <c r="I42" s="299">
        <f t="shared" ca="1" si="1"/>
        <v>6553.9279999999999</v>
      </c>
      <c r="J42" s="72" t="s">
        <v>10</v>
      </c>
      <c r="K42" s="301"/>
      <c r="L42" s="110"/>
      <c r="M42" s="110"/>
      <c r="N42" s="110"/>
    </row>
    <row r="43" spans="1:14" s="98" customFormat="1">
      <c r="A43" s="72">
        <f>IF(LEN(B43)=0," ",COUNTA($B$30:B43))</f>
        <v>13</v>
      </c>
      <c r="B43" s="72">
        <v>12</v>
      </c>
      <c r="C43" s="66" t="s">
        <v>280</v>
      </c>
      <c r="D43" s="72" t="s">
        <v>212</v>
      </c>
      <c r="E43" s="72" t="s">
        <v>365</v>
      </c>
      <c r="F43" s="62">
        <f t="shared" si="0"/>
        <v>1</v>
      </c>
      <c r="G43" s="107">
        <f ca="1">Eval(E43)*F43</f>
        <v>1.19</v>
      </c>
      <c r="H43" s="29">
        <v>1082</v>
      </c>
      <c r="I43" s="299">
        <f t="shared" ca="1" si="1"/>
        <v>1287.58</v>
      </c>
      <c r="J43" s="72" t="s">
        <v>0</v>
      </c>
      <c r="K43" s="110"/>
      <c r="L43" s="110"/>
      <c r="M43" s="110"/>
      <c r="N43" s="110"/>
    </row>
    <row r="44" spans="1:14" ht="38.25" customHeight="1">
      <c r="A44" s="262" t="s">
        <v>75</v>
      </c>
      <c r="B44" s="262"/>
      <c r="C44" s="67" t="s">
        <v>502</v>
      </c>
      <c r="D44" s="262"/>
      <c r="E44" s="262"/>
      <c r="F44" s="62"/>
      <c r="G44" s="305"/>
      <c r="H44" s="17"/>
      <c r="I44" s="300">
        <v>6</v>
      </c>
      <c r="J44" s="262" t="s">
        <v>15</v>
      </c>
      <c r="L44"/>
      <c r="M44"/>
      <c r="N44"/>
    </row>
    <row r="45" spans="1:14" s="98" customFormat="1">
      <c r="A45" s="72">
        <f>IF(LEN(B45)=0," ",COUNTA($B$30:B45))</f>
        <v>14</v>
      </c>
      <c r="B45" s="72">
        <v>1</v>
      </c>
      <c r="C45" s="66" t="s">
        <v>202</v>
      </c>
      <c r="D45" s="72" t="s">
        <v>56</v>
      </c>
      <c r="E45" s="72" t="s">
        <v>504</v>
      </c>
      <c r="F45" s="62">
        <f t="shared" ref="F45:F49" si="2">VLOOKUP(J45,$R$2:$S$22,2,0)</f>
        <v>1</v>
      </c>
      <c r="G45" s="107">
        <f ca="1">Eval(E45)*F45</f>
        <v>4.629999999999999</v>
      </c>
      <c r="H45" s="29">
        <f t="shared" ref="H45:H50" si="3">$I$44</f>
        <v>6</v>
      </c>
      <c r="I45" s="299">
        <f ca="1">ROUND(G45*H45,3)</f>
        <v>27.78</v>
      </c>
      <c r="J45" s="72" t="s">
        <v>5</v>
      </c>
      <c r="K45" s="110"/>
      <c r="L45" s="110"/>
      <c r="M45" s="110"/>
      <c r="N45" s="110"/>
    </row>
    <row r="46" spans="1:14" s="98" customFormat="1">
      <c r="A46" s="72">
        <f>IF(LEN(B46)=0," ",COUNTA($B$30:B46))</f>
        <v>15</v>
      </c>
      <c r="B46" s="72">
        <v>2</v>
      </c>
      <c r="C46" s="66" t="s">
        <v>203</v>
      </c>
      <c r="D46" s="72" t="s">
        <v>204</v>
      </c>
      <c r="E46" s="4" t="s">
        <v>506</v>
      </c>
      <c r="F46" s="62">
        <f t="shared" si="2"/>
        <v>0.01</v>
      </c>
      <c r="G46" s="107">
        <f ca="1">Eval(E46)*F46</f>
        <v>0.296875</v>
      </c>
      <c r="H46" s="29">
        <f t="shared" si="3"/>
        <v>6</v>
      </c>
      <c r="I46" s="299">
        <f t="shared" ref="I46:I59" ca="1" si="4">ROUND(G46*H46,3)</f>
        <v>1.7809999999999999</v>
      </c>
      <c r="J46" s="72" t="s">
        <v>4</v>
      </c>
      <c r="K46" s="110"/>
      <c r="L46" s="110"/>
      <c r="M46" s="110"/>
      <c r="N46" s="110"/>
    </row>
    <row r="47" spans="1:14" s="98" customFormat="1">
      <c r="A47" s="72">
        <f>IF(LEN(B47)=0," ",COUNTA($B$30:B47))</f>
        <v>16</v>
      </c>
      <c r="B47" s="72">
        <v>3</v>
      </c>
      <c r="C47" s="66" t="s">
        <v>205</v>
      </c>
      <c r="D47" s="342" t="s">
        <v>59</v>
      </c>
      <c r="E47" s="343"/>
      <c r="F47" s="62">
        <f t="shared" si="2"/>
        <v>1E-3</v>
      </c>
      <c r="G47" s="23">
        <f>99.51*F47</f>
        <v>9.9510000000000001E-2</v>
      </c>
      <c r="H47" s="29">
        <f t="shared" si="3"/>
        <v>6</v>
      </c>
      <c r="I47" s="299">
        <f t="shared" si="4"/>
        <v>0.59699999999999998</v>
      </c>
      <c r="J47" s="72" t="s">
        <v>10</v>
      </c>
      <c r="K47" s="110"/>
      <c r="L47" s="110"/>
      <c r="M47" s="110"/>
      <c r="N47" s="110"/>
    </row>
    <row r="48" spans="1:14" s="98" customFormat="1" ht="12.75" customHeight="1">
      <c r="A48" s="72">
        <f>IF(LEN(B48)=0," ",COUNTA($B$30:B48))</f>
        <v>17</v>
      </c>
      <c r="B48" s="72">
        <v>4</v>
      </c>
      <c r="C48" s="66" t="s">
        <v>206</v>
      </c>
      <c r="D48" s="342" t="s">
        <v>59</v>
      </c>
      <c r="E48" s="343"/>
      <c r="F48" s="62">
        <f t="shared" si="2"/>
        <v>1E-3</v>
      </c>
      <c r="G48" s="23">
        <f>50.67*F48</f>
        <v>5.067E-2</v>
      </c>
      <c r="H48" s="29">
        <f t="shared" si="3"/>
        <v>6</v>
      </c>
      <c r="I48" s="299">
        <f t="shared" si="4"/>
        <v>0.30399999999999999</v>
      </c>
      <c r="J48" s="72" t="s">
        <v>10</v>
      </c>
      <c r="K48" s="110"/>
    </row>
    <row r="49" spans="1:11" s="98" customFormat="1" ht="12.75" customHeight="1">
      <c r="A49" s="72">
        <f>IF(LEN(B49)=0," ",COUNTA($B$30:B49))</f>
        <v>18</v>
      </c>
      <c r="B49" s="72">
        <v>5</v>
      </c>
      <c r="C49" s="66" t="s">
        <v>207</v>
      </c>
      <c r="D49" s="342" t="s">
        <v>59</v>
      </c>
      <c r="E49" s="343"/>
      <c r="F49" s="62">
        <f t="shared" si="2"/>
        <v>1E-3</v>
      </c>
      <c r="G49" s="23">
        <f>779.15*F49</f>
        <v>0.77915000000000001</v>
      </c>
      <c r="H49" s="29">
        <f t="shared" si="3"/>
        <v>6</v>
      </c>
      <c r="I49" s="299">
        <f t="shared" si="4"/>
        <v>4.6749999999999998</v>
      </c>
      <c r="J49" s="72" t="s">
        <v>10</v>
      </c>
      <c r="K49" s="110"/>
    </row>
    <row r="50" spans="1:11" s="98" customFormat="1" ht="12.75" customHeight="1">
      <c r="A50" s="72">
        <f>IF(LEN(B50)=0," ",COUNTA($B$30:B50))</f>
        <v>19</v>
      </c>
      <c r="B50" s="72">
        <v>6</v>
      </c>
      <c r="C50" s="65" t="s">
        <v>508</v>
      </c>
      <c r="D50" s="342" t="s">
        <v>59</v>
      </c>
      <c r="E50" s="343"/>
      <c r="F50" s="62">
        <f>VLOOKUP(J50,$R$2:$S$22,2,0)</f>
        <v>1E-3</v>
      </c>
      <c r="G50" s="23">
        <f>48.83*F50</f>
        <v>4.8829999999999998E-2</v>
      </c>
      <c r="H50" s="29">
        <f t="shared" si="3"/>
        <v>6</v>
      </c>
      <c r="I50" s="299">
        <f t="shared" si="4"/>
        <v>0.29299999999999998</v>
      </c>
      <c r="J50" s="72" t="s">
        <v>10</v>
      </c>
      <c r="K50" s="110"/>
    </row>
    <row r="51" spans="1:11" s="98" customFormat="1" ht="12.75" customHeight="1">
      <c r="A51" s="72">
        <f>IF(LEN(B51)=0," ",COUNTA($B$30:B51))</f>
        <v>20</v>
      </c>
      <c r="B51" s="72">
        <v>7</v>
      </c>
      <c r="C51" s="66" t="s">
        <v>354</v>
      </c>
      <c r="D51" s="342" t="s">
        <v>59</v>
      </c>
      <c r="E51" s="343"/>
      <c r="F51" s="62">
        <f>VLOOKUP(J51,$R$2:$S$22,2,0)</f>
        <v>1E-3</v>
      </c>
      <c r="G51" s="107">
        <f>216.29*F51</f>
        <v>0.21629000000000001</v>
      </c>
      <c r="H51" s="29">
        <f>$I$44*2</f>
        <v>12</v>
      </c>
      <c r="I51" s="299">
        <f t="shared" si="4"/>
        <v>2.5950000000000002</v>
      </c>
      <c r="J51" s="72" t="s">
        <v>10</v>
      </c>
      <c r="K51" s="110"/>
    </row>
    <row r="52" spans="1:11" s="98" customFormat="1" ht="12.75" customHeight="1">
      <c r="A52" s="72">
        <f>IF(LEN(B52)=0," ",COUNTA($B$30:B52))</f>
        <v>21</v>
      </c>
      <c r="B52" s="72">
        <v>7</v>
      </c>
      <c r="C52" s="66" t="s">
        <v>355</v>
      </c>
      <c r="D52" s="342" t="s">
        <v>59</v>
      </c>
      <c r="E52" s="343"/>
      <c r="F52" s="62">
        <f>VLOOKUP(J52,$R$2:$S$22,2,0)</f>
        <v>1E-3</v>
      </c>
      <c r="G52" s="107">
        <f>15.07*F52</f>
        <v>1.507E-2</v>
      </c>
      <c r="H52" s="29">
        <f>$I$44*2</f>
        <v>12</v>
      </c>
      <c r="I52" s="299">
        <f t="shared" si="4"/>
        <v>0.18099999999999999</v>
      </c>
      <c r="J52" s="72" t="s">
        <v>10</v>
      </c>
      <c r="K52" s="110"/>
    </row>
    <row r="53" spans="1:11" s="98" customFormat="1" ht="12.75" customHeight="1">
      <c r="A53" s="72">
        <f>IF(LEN(B53)=0," ",COUNTA($B$30:B53))</f>
        <v>22</v>
      </c>
      <c r="B53" s="72">
        <v>9</v>
      </c>
      <c r="C53" s="66" t="s">
        <v>209</v>
      </c>
      <c r="D53" s="342" t="s">
        <v>387</v>
      </c>
      <c r="E53" s="343"/>
      <c r="F53" s="62">
        <f t="shared" ref="F53:F59" si="5">VLOOKUP(J53,$R$2:$S$22,2,0)</f>
        <v>0.01</v>
      </c>
      <c r="G53" s="107">
        <f>41*F53</f>
        <v>0.41000000000000003</v>
      </c>
      <c r="H53" s="29">
        <f>$I$44</f>
        <v>6</v>
      </c>
      <c r="I53" s="299">
        <f t="shared" si="4"/>
        <v>2.46</v>
      </c>
      <c r="J53" s="72" t="s">
        <v>6</v>
      </c>
      <c r="K53" s="110"/>
    </row>
    <row r="54" spans="1:11" s="98" customFormat="1" ht="12.75" customHeight="1">
      <c r="A54" s="72">
        <f>IF(LEN(B54)=0," ",COUNTA($B$30:B54))</f>
        <v>23</v>
      </c>
      <c r="B54" s="72">
        <v>10</v>
      </c>
      <c r="C54" s="66" t="s">
        <v>211</v>
      </c>
      <c r="D54" s="72" t="s">
        <v>212</v>
      </c>
      <c r="E54" s="72" t="s">
        <v>604</v>
      </c>
      <c r="F54" s="62">
        <f t="shared" si="5"/>
        <v>1</v>
      </c>
      <c r="G54" s="107">
        <f ca="1">Eval(E54)*F54</f>
        <v>6.737499999999999E-2</v>
      </c>
      <c r="H54" s="29">
        <f>$I$44</f>
        <v>6</v>
      </c>
      <c r="I54" s="299">
        <f t="shared" ca="1" si="4"/>
        <v>0.40400000000000003</v>
      </c>
      <c r="J54" s="72" t="s">
        <v>5</v>
      </c>
      <c r="K54" s="110"/>
    </row>
    <row r="55" spans="1:11" s="98" customFormat="1" ht="12.75" customHeight="1">
      <c r="A55" s="72">
        <f>IF(LEN(B55)=0," ",COUNTA($B$30:B55))</f>
        <v>24</v>
      </c>
      <c r="B55" s="72">
        <v>11</v>
      </c>
      <c r="C55" s="66" t="s">
        <v>213</v>
      </c>
      <c r="D55" s="367"/>
      <c r="E55" s="368"/>
      <c r="F55" s="62">
        <f t="shared" si="5"/>
        <v>1E-3</v>
      </c>
      <c r="G55" s="107">
        <f ca="1">G45*2.5+G47+G48+G49+G50+G51+G52</f>
        <v>12.784519999999999</v>
      </c>
      <c r="H55" s="29">
        <f>$I$44</f>
        <v>6</v>
      </c>
      <c r="I55" s="299">
        <f t="shared" ca="1" si="4"/>
        <v>76.706999999999994</v>
      </c>
      <c r="J55" s="72" t="s">
        <v>10</v>
      </c>
      <c r="K55" s="110"/>
    </row>
    <row r="56" spans="1:11" s="98" customFormat="1">
      <c r="A56" s="72">
        <f>IF(LEN(B56)=0," ",COUNTA($B$30:B56))</f>
        <v>25</v>
      </c>
      <c r="B56" s="72">
        <v>12</v>
      </c>
      <c r="C56" s="66" t="s">
        <v>280</v>
      </c>
      <c r="D56" s="72" t="s">
        <v>212</v>
      </c>
      <c r="E56" s="72" t="s">
        <v>365</v>
      </c>
      <c r="F56" s="62">
        <f t="shared" si="5"/>
        <v>1</v>
      </c>
      <c r="G56" s="107">
        <f ca="1">Eval(E56)*F56</f>
        <v>1.19</v>
      </c>
      <c r="H56" s="29">
        <f>$I$44*2</f>
        <v>12</v>
      </c>
      <c r="I56" s="299">
        <f t="shared" ca="1" si="4"/>
        <v>14.28</v>
      </c>
      <c r="J56" s="72" t="s">
        <v>0</v>
      </c>
      <c r="K56" s="110"/>
    </row>
    <row r="57" spans="1:11">
      <c r="A57" s="262" t="s">
        <v>81</v>
      </c>
      <c r="B57" s="72"/>
      <c r="C57" s="101" t="s">
        <v>350</v>
      </c>
      <c r="D57" s="99"/>
      <c r="E57" s="99"/>
      <c r="F57" s="62"/>
      <c r="G57" s="306"/>
      <c r="H57" s="100"/>
      <c r="I57" s="102"/>
      <c r="J57" s="103"/>
    </row>
    <row r="58" spans="1:11">
      <c r="A58" s="72">
        <f>IF(LEN(B58)=0," ",COUNTA($B$30:B58))</f>
        <v>26</v>
      </c>
      <c r="B58" s="72">
        <v>1</v>
      </c>
      <c r="C58" s="66" t="s">
        <v>351</v>
      </c>
      <c r="D58" s="72" t="s">
        <v>56</v>
      </c>
      <c r="E58" s="72">
        <f>(16*0.2)*21</f>
        <v>67.2</v>
      </c>
      <c r="F58" s="62">
        <f t="shared" si="5"/>
        <v>1</v>
      </c>
      <c r="G58" s="107">
        <f>E58*F58</f>
        <v>67.2</v>
      </c>
      <c r="H58" s="4">
        <v>1</v>
      </c>
      <c r="I58" s="299">
        <f t="shared" si="4"/>
        <v>67.2</v>
      </c>
      <c r="J58" s="72" t="s">
        <v>5</v>
      </c>
    </row>
    <row r="59" spans="1:11">
      <c r="A59" s="72">
        <f>IF(LEN(B59)=0," ",COUNTA($B$30:B59))</f>
        <v>27</v>
      </c>
      <c r="B59" s="72">
        <v>1</v>
      </c>
      <c r="C59" s="4" t="s">
        <v>352</v>
      </c>
      <c r="D59" s="72" t="s">
        <v>56</v>
      </c>
      <c r="E59" s="72">
        <f>(15*0.1)*20</f>
        <v>30</v>
      </c>
      <c r="F59" s="62">
        <f t="shared" si="5"/>
        <v>1</v>
      </c>
      <c r="G59" s="107">
        <f>E59*F59</f>
        <v>30</v>
      </c>
      <c r="H59" s="4">
        <v>1</v>
      </c>
      <c r="I59" s="299">
        <f t="shared" si="4"/>
        <v>30</v>
      </c>
      <c r="J59" s="72" t="s">
        <v>5</v>
      </c>
    </row>
  </sheetData>
  <mergeCells count="22">
    <mergeCell ref="D55:E55"/>
    <mergeCell ref="D53:E53"/>
    <mergeCell ref="D39:E39"/>
    <mergeCell ref="D49:E49"/>
    <mergeCell ref="D50:E50"/>
    <mergeCell ref="D51:E51"/>
    <mergeCell ref="D47:E47"/>
    <mergeCell ref="D48:E48"/>
    <mergeCell ref="D52:E52"/>
    <mergeCell ref="D42:E42"/>
    <mergeCell ref="A27:I27"/>
    <mergeCell ref="A28:I28"/>
    <mergeCell ref="A25:I25"/>
    <mergeCell ref="A26:I26"/>
    <mergeCell ref="D29:E29"/>
    <mergeCell ref="D33:E33"/>
    <mergeCell ref="D34:E34"/>
    <mergeCell ref="D40:E40"/>
    <mergeCell ref="D35:E35"/>
    <mergeCell ref="D36:E36"/>
    <mergeCell ref="D37:E37"/>
    <mergeCell ref="D38:E38"/>
  </mergeCells>
  <conditionalFormatting sqref="D40 D53:D55 E54 D31:J31 D32:E32 H56:H57 G53:H55 F53:F59 D35:E39 F32:F49 A31:B55 G46:H49 D50:H52 D41:E41 D43:E49 D42 G32:J45 J46:J55">
    <cfRule type="expression" dxfId="81" priority="11">
      <formula>$A31=""</formula>
    </cfRule>
  </conditionalFormatting>
  <conditionalFormatting sqref="C30:C43 C45:C55">
    <cfRule type="expression" dxfId="80" priority="10">
      <formula>$A30=""</formula>
    </cfRule>
  </conditionalFormatting>
  <conditionalFormatting sqref="C44">
    <cfRule type="expression" dxfId="79" priority="9">
      <formula>$A44=""</formula>
    </cfRule>
  </conditionalFormatting>
  <conditionalFormatting sqref="D31">
    <cfRule type="expression" dxfId="78" priority="8">
      <formula>$A30=""</formula>
    </cfRule>
  </conditionalFormatting>
  <conditionalFormatting sqref="D32">
    <cfRule type="expression" dxfId="77" priority="7">
      <formula>$A31=""</formula>
    </cfRule>
  </conditionalFormatting>
  <conditionalFormatting sqref="D33:E34">
    <cfRule type="expression" dxfId="76" priority="6">
      <formula>$A33=""</formula>
    </cfRule>
  </conditionalFormatting>
  <conditionalFormatting sqref="A56:B59 D56:E58 G56:G59 I57:J57 J56 J58:J59">
    <cfRule type="expression" dxfId="75" priority="5">
      <formula>$A56=""</formula>
    </cfRule>
  </conditionalFormatting>
  <conditionalFormatting sqref="C56:C58">
    <cfRule type="expression" dxfId="74" priority="4">
      <formula>$A56=""</formula>
    </cfRule>
  </conditionalFormatting>
  <conditionalFormatting sqref="D59">
    <cfRule type="expression" dxfId="73" priority="3">
      <formula>$A59=""</formula>
    </cfRule>
  </conditionalFormatting>
  <conditionalFormatting sqref="I46:I56">
    <cfRule type="expression" dxfId="72" priority="2">
      <formula>$A46=""</formula>
    </cfRule>
  </conditionalFormatting>
  <conditionalFormatting sqref="I58:I59">
    <cfRule type="expression" dxfId="71" priority="1">
      <formula>$A58=""</formula>
    </cfRule>
  </conditionalFormatting>
  <dataValidations count="1">
    <dataValidation type="list" allowBlank="1" showInputMessage="1" showErrorMessage="1" sqref="J30:J59" xr:uid="{00000000-0002-0000-0600-000000000000}">
      <formula1>$R$2:$R$22</formula1>
    </dataValidation>
  </dataValidations>
  <printOptions horizontalCentered="1"/>
  <pageMargins left="0.70866141732283472" right="0.11811023622047245" top="0.74803149606299213" bottom="0.74803149606299213" header="0.31496062992125984" footer="0.31496062992125984"/>
  <pageSetup paperSize="9" scale="85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92D050"/>
    <pageSetUpPr fitToPage="1"/>
  </sheetPr>
  <dimension ref="A1:S85"/>
  <sheetViews>
    <sheetView view="pageBreakPreview" topLeftCell="A25" zoomScale="115" zoomScaleNormal="115" zoomScaleSheetLayoutView="115" workbookViewId="0">
      <pane ySplit="5" topLeftCell="A39" activePane="bottomLeft" state="frozen"/>
      <selection activeCell="A25" sqref="A25"/>
      <selection pane="bottomLeft" activeCell="A26" sqref="A26:XFD28"/>
    </sheetView>
  </sheetViews>
  <sheetFormatPr defaultColWidth="9.109375" defaultRowHeight="13.2"/>
  <cols>
    <col min="1" max="1" width="6.5546875" style="1" customWidth="1"/>
    <col min="2" max="2" width="3.5546875" style="1" hidden="1" customWidth="1"/>
    <col min="3" max="3" width="41.6640625" style="2" bestFit="1" customWidth="1"/>
    <col min="4" max="4" width="14.33203125" style="1" bestFit="1" customWidth="1"/>
    <col min="5" max="5" width="29.5546875" style="1" customWidth="1"/>
    <col min="6" max="6" width="6" style="2" bestFit="1" customWidth="1"/>
    <col min="7" max="7" width="8.44140625" style="2" customWidth="1"/>
    <col min="8" max="8" width="6.5546875" style="2" bestFit="1" customWidth="1"/>
    <col min="9" max="9" width="11.6640625" style="35" customWidth="1"/>
    <col min="10" max="10" width="7.109375" style="35" customWidth="1"/>
    <col min="11" max="11" width="9.109375" style="2"/>
    <col min="12" max="12" width="32.33203125" style="2" bestFit="1" customWidth="1"/>
    <col min="13" max="16384" width="9.109375" style="2"/>
  </cols>
  <sheetData>
    <row r="1" spans="1:19" ht="16.8" hidden="1">
      <c r="I1" s="32"/>
      <c r="J1" s="32"/>
      <c r="R1" s="3" t="s">
        <v>13</v>
      </c>
      <c r="S1" s="4" t="s">
        <v>19</v>
      </c>
    </row>
    <row r="2" spans="1:19" s="5" customFormat="1" ht="16.8" hidden="1">
      <c r="I2" s="32"/>
      <c r="J2" s="32"/>
      <c r="R2" s="6" t="s">
        <v>2</v>
      </c>
      <c r="S2" s="7">
        <v>1</v>
      </c>
    </row>
    <row r="3" spans="1:19" s="5" customFormat="1" ht="16.8" hidden="1">
      <c r="I3" s="32"/>
      <c r="J3" s="32"/>
      <c r="R3" s="6" t="s">
        <v>0</v>
      </c>
      <c r="S3" s="7">
        <v>1</v>
      </c>
    </row>
    <row r="4" spans="1:19" s="5" customFormat="1" ht="16.8" hidden="1">
      <c r="I4" s="32"/>
      <c r="J4" s="32"/>
      <c r="R4" s="6" t="s">
        <v>5</v>
      </c>
      <c r="S4" s="7">
        <v>1</v>
      </c>
    </row>
    <row r="5" spans="1:19" ht="16.8" hidden="1">
      <c r="I5" s="32"/>
      <c r="J5" s="32"/>
      <c r="R5" s="3" t="s">
        <v>6</v>
      </c>
      <c r="S5" s="4">
        <v>0.01</v>
      </c>
    </row>
    <row r="6" spans="1:19" ht="16.8" hidden="1">
      <c r="I6" s="32"/>
      <c r="J6" s="32"/>
      <c r="R6" s="3" t="s">
        <v>7</v>
      </c>
      <c r="S6" s="4">
        <v>0.01</v>
      </c>
    </row>
    <row r="7" spans="1:19" s="5" customFormat="1" ht="16.8" hidden="1">
      <c r="I7" s="32"/>
      <c r="J7" s="32"/>
      <c r="R7" s="3" t="s">
        <v>4</v>
      </c>
      <c r="S7" s="4">
        <v>0.01</v>
      </c>
    </row>
    <row r="8" spans="1:19" s="5" customFormat="1" ht="16.8" hidden="1">
      <c r="I8" s="32"/>
      <c r="J8" s="32"/>
      <c r="R8" s="3" t="s">
        <v>10</v>
      </c>
      <c r="S8" s="4">
        <v>1E-3</v>
      </c>
    </row>
    <row r="9" spans="1:19" ht="16.8" hidden="1">
      <c r="I9" s="32"/>
      <c r="J9" s="32"/>
      <c r="R9" s="3" t="s">
        <v>14</v>
      </c>
      <c r="S9" s="4">
        <v>1</v>
      </c>
    </row>
    <row r="10" spans="1:19" ht="16.8" hidden="1">
      <c r="I10" s="32"/>
      <c r="J10" s="32"/>
      <c r="R10" s="3" t="s">
        <v>15</v>
      </c>
      <c r="S10" s="4">
        <v>1</v>
      </c>
    </row>
    <row r="11" spans="1:19" ht="16.8" hidden="1">
      <c r="I11" s="32"/>
      <c r="J11" s="32"/>
      <c r="R11" s="3" t="s">
        <v>22</v>
      </c>
      <c r="S11" s="4">
        <v>1</v>
      </c>
    </row>
    <row r="12" spans="1:19" ht="16.8" hidden="1">
      <c r="I12" s="32"/>
      <c r="J12" s="32"/>
      <c r="R12" s="3" t="s">
        <v>23</v>
      </c>
      <c r="S12" s="4">
        <v>1</v>
      </c>
    </row>
    <row r="13" spans="1:19" ht="16.8" hidden="1">
      <c r="I13" s="32"/>
      <c r="J13" s="32"/>
      <c r="R13" s="3" t="s">
        <v>24</v>
      </c>
      <c r="S13" s="4">
        <v>1</v>
      </c>
    </row>
    <row r="14" spans="1:19" ht="16.8" hidden="1">
      <c r="I14" s="32"/>
      <c r="J14" s="32"/>
      <c r="R14" s="3" t="s">
        <v>16</v>
      </c>
      <c r="S14" s="4">
        <v>1</v>
      </c>
    </row>
    <row r="15" spans="1:19" ht="16.8" hidden="1">
      <c r="A15" s="2"/>
      <c r="B15" s="2"/>
      <c r="D15" s="2"/>
      <c r="E15" s="2"/>
      <c r="I15" s="31"/>
      <c r="J15" s="31"/>
      <c r="R15" s="3" t="s">
        <v>21</v>
      </c>
      <c r="S15" s="4">
        <v>1</v>
      </c>
    </row>
    <row r="16" spans="1:19" ht="16.8" hidden="1">
      <c r="I16" s="32"/>
      <c r="J16" s="32"/>
      <c r="R16" s="3" t="s">
        <v>25</v>
      </c>
      <c r="S16" s="4">
        <v>1</v>
      </c>
    </row>
    <row r="17" spans="1:19" ht="16.8" hidden="1">
      <c r="I17" s="32"/>
      <c r="J17" s="32"/>
      <c r="R17" s="8" t="s">
        <v>17</v>
      </c>
      <c r="S17" s="9">
        <v>1</v>
      </c>
    </row>
    <row r="18" spans="1:19" ht="16.8" hidden="1">
      <c r="I18" s="32"/>
      <c r="J18" s="32"/>
      <c r="R18" s="8" t="s">
        <v>26</v>
      </c>
      <c r="S18" s="9">
        <v>1</v>
      </c>
    </row>
    <row r="19" spans="1:19" ht="16.8" hidden="1">
      <c r="I19" s="32"/>
      <c r="J19" s="32"/>
      <c r="R19" s="3"/>
      <c r="S19" s="4"/>
    </row>
    <row r="20" spans="1:19" ht="16.8" hidden="1">
      <c r="A20" s="2"/>
      <c r="B20" s="2"/>
      <c r="D20" s="2"/>
      <c r="E20" s="2"/>
      <c r="I20" s="31"/>
      <c r="J20" s="31"/>
      <c r="R20" s="3"/>
      <c r="S20" s="4"/>
    </row>
    <row r="21" spans="1:19" ht="16.8" hidden="1">
      <c r="I21" s="32"/>
      <c r="J21" s="32"/>
      <c r="R21" s="3"/>
      <c r="S21" s="4"/>
    </row>
    <row r="22" spans="1:19" ht="16.8" hidden="1">
      <c r="I22" s="32"/>
      <c r="J22" s="32"/>
      <c r="R22" s="3"/>
      <c r="S22" s="4"/>
    </row>
    <row r="23" spans="1:19" ht="16.8" hidden="1">
      <c r="A23" s="2"/>
      <c r="B23" s="2"/>
      <c r="D23" s="2"/>
      <c r="E23" s="2"/>
      <c r="I23" s="31"/>
      <c r="J23" s="31"/>
      <c r="K23" s="10"/>
      <c r="L23" s="11"/>
    </row>
    <row r="24" spans="1:19" hidden="1">
      <c r="A24" s="2"/>
      <c r="B24" s="2"/>
      <c r="D24" s="2"/>
      <c r="E24" s="2"/>
      <c r="I24" s="31"/>
      <c r="J24" s="31"/>
    </row>
    <row r="25" spans="1:19" ht="17.399999999999999">
      <c r="A25" s="331" t="s">
        <v>266</v>
      </c>
      <c r="B25" s="331"/>
      <c r="C25" s="331"/>
      <c r="D25" s="331"/>
      <c r="E25" s="331"/>
      <c r="F25" s="331"/>
      <c r="G25" s="331"/>
      <c r="H25" s="331"/>
      <c r="I25" s="331"/>
      <c r="J25" s="60"/>
    </row>
    <row r="26" spans="1:19" ht="13.8" hidden="1">
      <c r="A26" s="332" t="s">
        <v>28</v>
      </c>
      <c r="B26" s="332"/>
      <c r="C26" s="332"/>
      <c r="D26" s="332"/>
      <c r="E26" s="332"/>
      <c r="F26" s="332"/>
      <c r="G26" s="332"/>
      <c r="H26" s="332"/>
      <c r="I26" s="332"/>
      <c r="J26" s="61"/>
    </row>
    <row r="27" spans="1:19" s="12" customFormat="1" ht="14.4" hidden="1">
      <c r="A27" s="349" t="s">
        <v>29</v>
      </c>
      <c r="B27" s="349"/>
      <c r="C27" s="349"/>
      <c r="D27" s="349"/>
      <c r="E27" s="349"/>
      <c r="F27" s="349"/>
      <c r="G27" s="349"/>
      <c r="H27" s="349"/>
      <c r="I27" s="349"/>
      <c r="J27" s="59"/>
    </row>
    <row r="28" spans="1:19" s="12" customFormat="1" hidden="1">
      <c r="A28" s="350"/>
      <c r="B28" s="350"/>
      <c r="C28" s="350"/>
      <c r="D28" s="350"/>
      <c r="E28" s="350"/>
      <c r="F28" s="350"/>
      <c r="G28" s="350"/>
      <c r="H28" s="350"/>
      <c r="I28" s="350"/>
      <c r="J28" s="40"/>
    </row>
    <row r="29" spans="1:19" s="16" customFormat="1" ht="26.4">
      <c r="A29" s="13" t="s">
        <v>3</v>
      </c>
      <c r="B29" s="14" t="s">
        <v>18</v>
      </c>
      <c r="C29" s="13" t="s">
        <v>11</v>
      </c>
      <c r="D29" s="351" t="s">
        <v>30</v>
      </c>
      <c r="E29" s="352"/>
      <c r="F29" s="13" t="s">
        <v>20</v>
      </c>
      <c r="G29" s="76" t="s">
        <v>31</v>
      </c>
      <c r="H29" s="76" t="s">
        <v>32</v>
      </c>
      <c r="I29" s="33" t="s">
        <v>8</v>
      </c>
      <c r="J29" s="13" t="s">
        <v>9</v>
      </c>
    </row>
    <row r="30" spans="1:19" ht="12.75" customHeight="1">
      <c r="A30" s="174" t="s">
        <v>119</v>
      </c>
      <c r="B30" s="72"/>
      <c r="C30" s="64" t="s">
        <v>263</v>
      </c>
      <c r="D30" s="72"/>
      <c r="E30" s="20"/>
      <c r="F30" s="62"/>
      <c r="G30" s="23"/>
      <c r="H30" s="29"/>
      <c r="I30" s="34">
        <v>4</v>
      </c>
      <c r="J30" s="72" t="s">
        <v>16</v>
      </c>
    </row>
    <row r="31" spans="1:19" ht="12.75" customHeight="1">
      <c r="A31" s="72">
        <f>IF(LEN(B31)=0," ",COUNTA($B$30:B31))</f>
        <v>1</v>
      </c>
      <c r="B31" s="72">
        <v>1</v>
      </c>
      <c r="C31" s="64" t="s">
        <v>262</v>
      </c>
      <c r="D31" s="72"/>
      <c r="E31" s="4"/>
      <c r="F31" s="62"/>
      <c r="G31" s="62"/>
      <c r="H31" s="29"/>
      <c r="I31" s="63">
        <f ca="1">SUM(I33:I34)</f>
        <v>11.203635200000001</v>
      </c>
      <c r="J31" s="72" t="s">
        <v>5</v>
      </c>
    </row>
    <row r="32" spans="1:19" ht="12.75" customHeight="1">
      <c r="A32" s="72" t="s">
        <v>253</v>
      </c>
      <c r="B32" s="72"/>
      <c r="C32" s="66" t="s">
        <v>264</v>
      </c>
      <c r="D32" s="72" t="s">
        <v>56</v>
      </c>
      <c r="E32" s="72" t="s">
        <v>403</v>
      </c>
      <c r="F32" s="62">
        <f>VLOOKUP(J32,$R$2:$S$22,2,0)</f>
        <v>1</v>
      </c>
      <c r="G32" s="62">
        <f ca="1">Eval(E32)*F32</f>
        <v>0.32000000000000006</v>
      </c>
      <c r="H32" s="29">
        <v>4</v>
      </c>
      <c r="I32" s="63">
        <f ca="1">G32*H32</f>
        <v>1.2800000000000002</v>
      </c>
      <c r="J32" s="72" t="s">
        <v>5</v>
      </c>
    </row>
    <row r="33" spans="1:10" s="5" customFormat="1" ht="12.75" customHeight="1">
      <c r="A33" s="72" t="s">
        <v>253</v>
      </c>
      <c r="B33" s="72"/>
      <c r="C33" s="66" t="s">
        <v>261</v>
      </c>
      <c r="D33" s="72" t="s">
        <v>212</v>
      </c>
      <c r="E33" s="25" t="s">
        <v>260</v>
      </c>
      <c r="F33" s="62">
        <f>VLOOKUP(J33,$R$2:$S$22,2,0)</f>
        <v>1</v>
      </c>
      <c r="G33" s="62">
        <f ca="1">Eval(E33)*F33</f>
        <v>0.504</v>
      </c>
      <c r="H33" s="29">
        <v>4</v>
      </c>
      <c r="I33" s="63">
        <f ca="1">G33*H33</f>
        <v>2.016</v>
      </c>
      <c r="J33" s="72" t="s">
        <v>5</v>
      </c>
    </row>
    <row r="34" spans="1:10" ht="12.75" customHeight="1">
      <c r="A34" s="72" t="s">
        <v>253</v>
      </c>
      <c r="B34" s="72"/>
      <c r="C34" s="66" t="s">
        <v>259</v>
      </c>
      <c r="D34" s="72"/>
      <c r="E34" s="72"/>
      <c r="F34" s="62"/>
      <c r="G34" s="62"/>
      <c r="H34" s="29"/>
      <c r="I34" s="63">
        <f ca="1">SUM(I35:I40)</f>
        <v>9.1876352000000008</v>
      </c>
      <c r="J34" s="72" t="s">
        <v>5</v>
      </c>
    </row>
    <row r="35" spans="1:10" ht="12.75" customHeight="1">
      <c r="A35" s="72"/>
      <c r="B35" s="72"/>
      <c r="C35" s="167" t="s">
        <v>258</v>
      </c>
      <c r="D35" s="72" t="s">
        <v>56</v>
      </c>
      <c r="E35" s="139" t="s">
        <v>404</v>
      </c>
      <c r="F35" s="62">
        <f t="shared" ref="F35:F40" si="0">VLOOKUP(J35,$R$2:$S$22,2,0)</f>
        <v>1</v>
      </c>
      <c r="G35" s="62">
        <f t="shared" ref="G35:G40" ca="1" si="1">Eval(E35)*F35</f>
        <v>1.4400000000000002</v>
      </c>
      <c r="H35" s="29">
        <v>4</v>
      </c>
      <c r="I35" s="63">
        <f t="shared" ref="I35:I40" ca="1" si="2">G35*H35</f>
        <v>5.7600000000000007</v>
      </c>
      <c r="J35" s="72" t="s">
        <v>5</v>
      </c>
    </row>
    <row r="36" spans="1:10" ht="12.75" customHeight="1">
      <c r="A36" s="72"/>
      <c r="B36" s="72"/>
      <c r="C36" s="68" t="s">
        <v>250</v>
      </c>
      <c r="D36" s="72" t="s">
        <v>56</v>
      </c>
      <c r="E36" s="20" t="s">
        <v>405</v>
      </c>
      <c r="F36" s="62">
        <f t="shared" si="0"/>
        <v>1</v>
      </c>
      <c r="G36" s="62">
        <f ca="1">-Eval(E36)*F36</f>
        <v>-0.15840000000000001</v>
      </c>
      <c r="H36" s="29">
        <v>4</v>
      </c>
      <c r="I36" s="63">
        <f t="shared" ca="1" si="2"/>
        <v>-0.63360000000000005</v>
      </c>
      <c r="J36" s="72" t="s">
        <v>5</v>
      </c>
    </row>
    <row r="37" spans="1:10" ht="12.75" customHeight="1">
      <c r="A37" s="72"/>
      <c r="B37" s="72"/>
      <c r="C37" s="168" t="s">
        <v>257</v>
      </c>
      <c r="D37" s="72" t="s">
        <v>56</v>
      </c>
      <c r="E37" s="25" t="s">
        <v>406</v>
      </c>
      <c r="F37" s="62">
        <f t="shared" si="0"/>
        <v>1</v>
      </c>
      <c r="G37" s="62">
        <f t="shared" ca="1" si="1"/>
        <v>0.8</v>
      </c>
      <c r="H37" s="29">
        <v>4</v>
      </c>
      <c r="I37" s="63">
        <f t="shared" ca="1" si="2"/>
        <v>3.2</v>
      </c>
      <c r="J37" s="72" t="s">
        <v>5</v>
      </c>
    </row>
    <row r="38" spans="1:10" s="5" customFormat="1" ht="12.75" customHeight="1">
      <c r="A38" s="72"/>
      <c r="B38" s="72"/>
      <c r="C38" s="68" t="s">
        <v>247</v>
      </c>
      <c r="D38" s="72" t="s">
        <v>56</v>
      </c>
      <c r="E38" s="72" t="s">
        <v>407</v>
      </c>
      <c r="F38" s="62">
        <f t="shared" si="0"/>
        <v>1</v>
      </c>
      <c r="G38" s="62">
        <f ca="1">-Eval(E38)*F38</f>
        <v>-0.14469119999999999</v>
      </c>
      <c r="H38" s="29">
        <v>4</v>
      </c>
      <c r="I38" s="63">
        <f t="shared" ca="1" si="2"/>
        <v>-0.57876479999999997</v>
      </c>
      <c r="J38" s="72" t="s">
        <v>5</v>
      </c>
    </row>
    <row r="39" spans="1:10" ht="12.75" customHeight="1">
      <c r="A39" s="72"/>
      <c r="B39" s="72"/>
      <c r="C39" s="168" t="s">
        <v>256</v>
      </c>
      <c r="D39" s="72" t="s">
        <v>56</v>
      </c>
      <c r="E39" s="72" t="s">
        <v>408</v>
      </c>
      <c r="F39" s="62">
        <f t="shared" si="0"/>
        <v>1</v>
      </c>
      <c r="G39" s="62">
        <f t="shared" ca="1" si="1"/>
        <v>0.192</v>
      </c>
      <c r="H39" s="29">
        <v>4</v>
      </c>
      <c r="I39" s="63">
        <f t="shared" ca="1" si="2"/>
        <v>0.76800000000000002</v>
      </c>
      <c r="J39" s="72" t="s">
        <v>5</v>
      </c>
    </row>
    <row r="40" spans="1:10" ht="12.75" customHeight="1">
      <c r="A40" s="72"/>
      <c r="B40" s="72"/>
      <c r="C40" s="169" t="s">
        <v>246</v>
      </c>
      <c r="D40" s="72" t="s">
        <v>56</v>
      </c>
      <c r="E40" s="26" t="s">
        <v>409</v>
      </c>
      <c r="F40" s="62">
        <f t="shared" si="0"/>
        <v>1</v>
      </c>
      <c r="G40" s="62">
        <f t="shared" ca="1" si="1"/>
        <v>0.16800000000000001</v>
      </c>
      <c r="H40" s="29">
        <v>4</v>
      </c>
      <c r="I40" s="63">
        <f t="shared" ca="1" si="2"/>
        <v>0.67200000000000004</v>
      </c>
      <c r="J40" s="72" t="s">
        <v>5</v>
      </c>
    </row>
    <row r="41" spans="1:10" ht="12.75" customHeight="1">
      <c r="A41" s="72">
        <f>IF(LEN(B41)=0," ",COUNTA($B$30:B41))</f>
        <v>2</v>
      </c>
      <c r="B41" s="72">
        <v>1</v>
      </c>
      <c r="C41" s="70" t="s">
        <v>255</v>
      </c>
      <c r="D41" s="342"/>
      <c r="E41" s="343"/>
      <c r="F41" s="62"/>
      <c r="G41" s="119"/>
      <c r="H41" s="29"/>
      <c r="I41" s="63"/>
      <c r="J41" s="72"/>
    </row>
    <row r="42" spans="1:10" ht="12.75" customHeight="1">
      <c r="A42" s="72" t="s">
        <v>253</v>
      </c>
      <c r="B42" s="72"/>
      <c r="C42" s="66" t="s">
        <v>435</v>
      </c>
      <c r="D42" s="72" t="s">
        <v>233</v>
      </c>
      <c r="E42" s="228" t="s">
        <v>436</v>
      </c>
      <c r="F42" s="62">
        <v>0.01</v>
      </c>
      <c r="G42" s="62">
        <f>2*(1.6+2)*0.1*F42</f>
        <v>7.2000000000000007E-3</v>
      </c>
      <c r="H42" s="29">
        <v>4</v>
      </c>
      <c r="I42" s="63">
        <f>G42*H42</f>
        <v>2.8800000000000003E-2</v>
      </c>
      <c r="J42" s="72" t="s">
        <v>4</v>
      </c>
    </row>
    <row r="43" spans="1:10" ht="12.75" customHeight="1">
      <c r="A43" s="72" t="s">
        <v>253</v>
      </c>
      <c r="B43" s="72"/>
      <c r="C43" s="66" t="s">
        <v>44</v>
      </c>
      <c r="D43" s="72" t="s">
        <v>233</v>
      </c>
      <c r="E43" s="26" t="s">
        <v>254</v>
      </c>
      <c r="F43" s="62">
        <v>0.01</v>
      </c>
      <c r="G43" s="62">
        <f ca="1">Eval(E43)*F43</f>
        <v>1.2800000000000002E-2</v>
      </c>
      <c r="H43" s="29">
        <v>4</v>
      </c>
      <c r="I43" s="63">
        <f ca="1">G43*H43</f>
        <v>5.1200000000000009E-2</v>
      </c>
      <c r="J43" s="72" t="s">
        <v>4</v>
      </c>
    </row>
    <row r="44" spans="1:10" ht="12.75" customHeight="1">
      <c r="A44" s="72" t="s">
        <v>253</v>
      </c>
      <c r="B44" s="72"/>
      <c r="C44" s="66" t="s">
        <v>252</v>
      </c>
      <c r="D44" s="342"/>
      <c r="E44" s="343"/>
      <c r="F44" s="62"/>
      <c r="G44" s="119"/>
      <c r="H44" s="29"/>
      <c r="I44" s="63">
        <f ca="1">SUM(I45,I49,I53)</f>
        <v>0.77796352000000002</v>
      </c>
      <c r="J44" s="72" t="s">
        <v>4</v>
      </c>
    </row>
    <row r="45" spans="1:10" ht="12.75" customHeight="1">
      <c r="A45" s="72" t="str">
        <f>IF(LEN(B45)=0," ",COUNTA($B$30:B45))</f>
        <v xml:space="preserve"> </v>
      </c>
      <c r="B45" s="72"/>
      <c r="C45" s="167" t="s">
        <v>251</v>
      </c>
      <c r="D45" s="72" t="s">
        <v>233</v>
      </c>
      <c r="E45" s="72"/>
      <c r="F45" s="62"/>
      <c r="G45" s="119"/>
      <c r="H45" s="29"/>
      <c r="I45" s="63">
        <f ca="1">SUM(I46:I48)</f>
        <v>0.44864000000000004</v>
      </c>
      <c r="J45" s="72" t="s">
        <v>4</v>
      </c>
    </row>
    <row r="46" spans="1:10" s="69" customFormat="1" ht="12.75" customHeight="1">
      <c r="A46" s="72"/>
      <c r="B46" s="72"/>
      <c r="C46" s="167" t="s">
        <v>249</v>
      </c>
      <c r="D46" s="72" t="s">
        <v>233</v>
      </c>
      <c r="E46" s="72" t="s">
        <v>410</v>
      </c>
      <c r="F46" s="62">
        <f>VLOOKUP(J46,$R$2:$S$22,2,0)</f>
        <v>0.01</v>
      </c>
      <c r="G46" s="119">
        <f ca="1">Eval(E46)*F46</f>
        <v>7.2000000000000008E-2</v>
      </c>
      <c r="H46" s="29">
        <v>4</v>
      </c>
      <c r="I46" s="63">
        <f ca="1">G46*H46</f>
        <v>0.28800000000000003</v>
      </c>
      <c r="J46" s="72" t="s">
        <v>4</v>
      </c>
    </row>
    <row r="47" spans="1:10" ht="12.75" customHeight="1">
      <c r="A47" s="72"/>
      <c r="B47" s="72"/>
      <c r="C47" s="167" t="s">
        <v>248</v>
      </c>
      <c r="D47" s="72" t="s">
        <v>233</v>
      </c>
      <c r="E47" s="72" t="s">
        <v>411</v>
      </c>
      <c r="F47" s="62">
        <f>VLOOKUP(J47,$R$2:$S$22,2,0)</f>
        <v>0.01</v>
      </c>
      <c r="G47" s="119">
        <f ca="1">Eval(E47)*F47</f>
        <v>5.5999999999999994E-2</v>
      </c>
      <c r="H47" s="29">
        <v>4</v>
      </c>
      <c r="I47" s="63">
        <f ca="1">G47*H47</f>
        <v>0.22399999999999998</v>
      </c>
      <c r="J47" s="72" t="s">
        <v>4</v>
      </c>
    </row>
    <row r="48" spans="1:10" ht="12.75" customHeight="1">
      <c r="A48" s="72" t="str">
        <f>IF(LEN(B48)=0," ",COUNTA($B$30:B48))</f>
        <v xml:space="preserve"> </v>
      </c>
      <c r="B48" s="72"/>
      <c r="C48" s="170" t="s">
        <v>250</v>
      </c>
      <c r="D48" s="72" t="s">
        <v>233</v>
      </c>
      <c r="E48" s="171" t="s">
        <v>412</v>
      </c>
      <c r="F48" s="62">
        <f>VLOOKUP(J48,$R$2:$S$22,2,0)</f>
        <v>0.01</v>
      </c>
      <c r="G48" s="119">
        <f ca="1">-Eval(E48)*F48</f>
        <v>-1.584E-2</v>
      </c>
      <c r="H48" s="29">
        <v>4</v>
      </c>
      <c r="I48" s="172">
        <f ca="1">G48*H48</f>
        <v>-6.336E-2</v>
      </c>
      <c r="J48" s="72" t="s">
        <v>4</v>
      </c>
    </row>
    <row r="49" spans="1:10" ht="12.75" customHeight="1">
      <c r="A49" s="72" t="str">
        <f>IF(LEN(B49)=0," ",COUNTA($B$30:B49))</f>
        <v xml:space="preserve"> </v>
      </c>
      <c r="B49" s="72"/>
      <c r="C49" s="167" t="s">
        <v>413</v>
      </c>
      <c r="D49" s="72" t="s">
        <v>233</v>
      </c>
      <c r="E49" s="22"/>
      <c r="F49" s="62"/>
      <c r="G49" s="119"/>
      <c r="H49" s="29">
        <v>4</v>
      </c>
      <c r="I49" s="63">
        <f ca="1">SUM(I50:I53)</f>
        <v>0.29572352000000002</v>
      </c>
      <c r="J49" s="72" t="s">
        <v>4</v>
      </c>
    </row>
    <row r="50" spans="1:10" ht="12.75" customHeight="1">
      <c r="A50" s="72"/>
      <c r="B50" s="72"/>
      <c r="C50" s="167" t="s">
        <v>249</v>
      </c>
      <c r="D50" s="72" t="s">
        <v>233</v>
      </c>
      <c r="E50" s="72" t="s">
        <v>414</v>
      </c>
      <c r="F50" s="62">
        <f>VLOOKUP(J50,$R$2:$S$22,2,0)</f>
        <v>0.01</v>
      </c>
      <c r="G50" s="119">
        <f ca="1">Eval(E50)*F50</f>
        <v>0.04</v>
      </c>
      <c r="H50" s="29">
        <v>4</v>
      </c>
      <c r="I50" s="63">
        <f ca="1">G50*H50</f>
        <v>0.16</v>
      </c>
      <c r="J50" s="72" t="s">
        <v>4</v>
      </c>
    </row>
    <row r="51" spans="1:10" ht="12.75" customHeight="1">
      <c r="A51" s="72"/>
      <c r="B51" s="72"/>
      <c r="C51" s="167" t="s">
        <v>248</v>
      </c>
      <c r="D51" s="72" t="s">
        <v>233</v>
      </c>
      <c r="E51" s="72" t="s">
        <v>414</v>
      </c>
      <c r="F51" s="62">
        <f>VLOOKUP(J51,$R$2:$S$22,2,0)</f>
        <v>0.01</v>
      </c>
      <c r="G51" s="119">
        <f ca="1">Eval(E51)*F51</f>
        <v>0.04</v>
      </c>
      <c r="H51" s="29">
        <v>4</v>
      </c>
      <c r="I51" s="63">
        <f ca="1">G51*H51</f>
        <v>0.16</v>
      </c>
      <c r="J51" s="72" t="s">
        <v>4</v>
      </c>
    </row>
    <row r="52" spans="1:10">
      <c r="A52" s="72"/>
      <c r="B52" s="72"/>
      <c r="C52" s="68" t="s">
        <v>247</v>
      </c>
      <c r="D52" s="72" t="s">
        <v>233</v>
      </c>
      <c r="E52" s="20" t="s">
        <v>415</v>
      </c>
      <c r="F52" s="62">
        <f>VLOOKUP(J52,$R$2:$S$22,2,0)</f>
        <v>0.01</v>
      </c>
      <c r="G52" s="119">
        <f ca="1">-Eval(E52)*F52</f>
        <v>-1.446912E-2</v>
      </c>
      <c r="H52" s="29">
        <v>4</v>
      </c>
      <c r="I52" s="63">
        <f ca="1">G52*H52</f>
        <v>-5.7876480000000001E-2</v>
      </c>
      <c r="J52" s="72" t="s">
        <v>4</v>
      </c>
    </row>
    <row r="53" spans="1:10" s="106" customFormat="1" ht="12.75" customHeight="1">
      <c r="A53" s="72"/>
      <c r="B53" s="72"/>
      <c r="C53" s="167" t="s">
        <v>416</v>
      </c>
      <c r="D53" s="72" t="s">
        <v>233</v>
      </c>
      <c r="E53" s="20" t="s">
        <v>417</v>
      </c>
      <c r="F53" s="62">
        <f>VLOOKUP(J53,$R$2:$S$22,2,0)</f>
        <v>0.01</v>
      </c>
      <c r="G53" s="119">
        <f ca="1">Eval(E53)*F53</f>
        <v>8.3999999999999995E-3</v>
      </c>
      <c r="H53" s="29">
        <v>4</v>
      </c>
      <c r="I53" s="63">
        <f ca="1">H53*G53</f>
        <v>3.3599999999999998E-2</v>
      </c>
      <c r="J53" s="72" t="s">
        <v>4</v>
      </c>
    </row>
    <row r="54" spans="1:10" s="106" customFormat="1" ht="12.75" customHeight="1">
      <c r="A54" s="72">
        <f>IF(LEN(B54)=0," ",COUNTA($B$30:B54))</f>
        <v>3</v>
      </c>
      <c r="B54" s="72">
        <v>1</v>
      </c>
      <c r="C54" s="64" t="s">
        <v>245</v>
      </c>
      <c r="D54" s="139"/>
      <c r="E54" s="139"/>
      <c r="F54" s="63"/>
      <c r="G54" s="63"/>
      <c r="H54" s="17"/>
      <c r="I54" s="63">
        <v>4</v>
      </c>
      <c r="J54" s="139" t="s">
        <v>16</v>
      </c>
    </row>
    <row r="55" spans="1:10" ht="12.75" customHeight="1">
      <c r="A55" s="72"/>
      <c r="B55" s="72"/>
      <c r="C55" s="66" t="s">
        <v>224</v>
      </c>
      <c r="D55" s="342" t="s">
        <v>59</v>
      </c>
      <c r="E55" s="343"/>
      <c r="F55" s="62">
        <f>VLOOKUP(J55,$R$2:$S$22,2,0)</f>
        <v>1E-3</v>
      </c>
      <c r="G55" s="62">
        <f>95.33*F55</f>
        <v>9.5329999999999998E-2</v>
      </c>
      <c r="H55" s="29">
        <v>4</v>
      </c>
      <c r="I55" s="63">
        <f>G55*H55</f>
        <v>0.38131999999999999</v>
      </c>
      <c r="J55" s="72" t="s">
        <v>218</v>
      </c>
    </row>
    <row r="56" spans="1:10" ht="12.75" customHeight="1">
      <c r="A56" s="72"/>
      <c r="B56" s="72"/>
      <c r="C56" s="66" t="s">
        <v>223</v>
      </c>
      <c r="D56" s="342" t="s">
        <v>59</v>
      </c>
      <c r="E56" s="343"/>
      <c r="F56" s="62">
        <f>VLOOKUP(J56,$R$2:$S$22,2,0)</f>
        <v>1E-3</v>
      </c>
      <c r="G56" s="62">
        <f>190.05*F56</f>
        <v>0.19005000000000002</v>
      </c>
      <c r="H56" s="29">
        <v>4</v>
      </c>
      <c r="I56" s="63">
        <f>G56*H56</f>
        <v>0.7602000000000001</v>
      </c>
      <c r="J56" s="72" t="s">
        <v>218</v>
      </c>
    </row>
    <row r="57" spans="1:10" s="5" customFormat="1" ht="12.75" customHeight="1">
      <c r="A57" s="72">
        <f>IF(LEN(B57)=0," ",COUNTA($B$30:B57))</f>
        <v>4</v>
      </c>
      <c r="B57" s="72">
        <v>1</v>
      </c>
      <c r="C57" s="151" t="s">
        <v>244</v>
      </c>
      <c r="D57" s="72"/>
      <c r="E57" s="4"/>
      <c r="F57" s="62"/>
      <c r="G57" s="62"/>
      <c r="H57" s="29"/>
      <c r="I57" s="63">
        <v>4</v>
      </c>
      <c r="J57" s="72" t="s">
        <v>21</v>
      </c>
    </row>
    <row r="58" spans="1:10" s="5" customFormat="1" ht="12.75" customHeight="1">
      <c r="A58" s="72"/>
      <c r="B58" s="72"/>
      <c r="C58" s="64" t="s">
        <v>231</v>
      </c>
      <c r="D58" s="72" t="s">
        <v>57</v>
      </c>
      <c r="E58" s="25" t="s">
        <v>243</v>
      </c>
      <c r="F58" s="62">
        <f>VLOOKUP(J58,$R$2:$S$22,2,0)</f>
        <v>1</v>
      </c>
      <c r="G58" s="62">
        <f ca="1">Eval(E58)*F58</f>
        <v>9.9000000000000019E-2</v>
      </c>
      <c r="H58" s="29">
        <v>4</v>
      </c>
      <c r="I58" s="63">
        <f ca="1">G58*H58</f>
        <v>0.39600000000000007</v>
      </c>
      <c r="J58" s="72" t="s">
        <v>5</v>
      </c>
    </row>
    <row r="59" spans="1:10" ht="12.75" customHeight="1">
      <c r="A59" s="72"/>
      <c r="B59" s="72"/>
      <c r="C59" s="65" t="s">
        <v>224</v>
      </c>
      <c r="D59" s="342" t="s">
        <v>59</v>
      </c>
      <c r="E59" s="343"/>
      <c r="F59" s="62">
        <f>VLOOKUP(J59,$R$2:$S$22,2,0)</f>
        <v>1E-3</v>
      </c>
      <c r="G59" s="62">
        <f>0.622*F59</f>
        <v>6.2200000000000005E-4</v>
      </c>
      <c r="H59" s="29">
        <v>4</v>
      </c>
      <c r="I59" s="63">
        <f>G59*H59</f>
        <v>2.4880000000000002E-3</v>
      </c>
      <c r="J59" s="72" t="s">
        <v>218</v>
      </c>
    </row>
    <row r="60" spans="1:10" ht="12.75" customHeight="1">
      <c r="A60" s="72"/>
      <c r="B60" s="72"/>
      <c r="C60" s="65" t="s">
        <v>223</v>
      </c>
      <c r="D60" s="342" t="s">
        <v>59</v>
      </c>
      <c r="E60" s="343"/>
      <c r="F60" s="62">
        <f>VLOOKUP(J60,$R$2:$S$22,2,0)</f>
        <v>1E-3</v>
      </c>
      <c r="G60" s="62">
        <f>17.861*F60</f>
        <v>1.7861000000000002E-2</v>
      </c>
      <c r="H60" s="29">
        <v>4</v>
      </c>
      <c r="I60" s="63">
        <f>G60*H60</f>
        <v>7.1444000000000007E-2</v>
      </c>
      <c r="J60" s="72" t="s">
        <v>218</v>
      </c>
    </row>
    <row r="61" spans="1:10" ht="12.75" customHeight="1">
      <c r="A61" s="72"/>
      <c r="B61" s="72"/>
      <c r="C61" s="65" t="s">
        <v>242</v>
      </c>
      <c r="D61" s="342" t="s">
        <v>59</v>
      </c>
      <c r="E61" s="343"/>
      <c r="F61" s="62">
        <f>VLOOKUP(J61,$R$2:$S$22,2,0)</f>
        <v>1E-3</v>
      </c>
      <c r="G61" s="62">
        <f>15.7*F61</f>
        <v>1.5699999999999999E-2</v>
      </c>
      <c r="H61" s="29">
        <v>4</v>
      </c>
      <c r="I61" s="63">
        <f>G61*H61</f>
        <v>6.2799999999999995E-2</v>
      </c>
      <c r="J61" s="72" t="s">
        <v>218</v>
      </c>
    </row>
    <row r="62" spans="1:10" ht="12.75" customHeight="1">
      <c r="A62" s="72"/>
      <c r="B62" s="72"/>
      <c r="C62" s="65" t="s">
        <v>241</v>
      </c>
      <c r="D62" s="72" t="s">
        <v>56</v>
      </c>
      <c r="E62" s="75" t="s">
        <v>235</v>
      </c>
      <c r="F62" s="62">
        <f>VLOOKUP(J62,$R$2:$S$22,2,0)</f>
        <v>0.01</v>
      </c>
      <c r="G62" s="62">
        <f ca="1">Eval(E62)*F62</f>
        <v>4.0000000000000001E-3</v>
      </c>
      <c r="H62" s="29">
        <v>4</v>
      </c>
      <c r="I62" s="63">
        <f ca="1">G62*H62</f>
        <v>1.6E-2</v>
      </c>
      <c r="J62" s="72" t="s">
        <v>4</v>
      </c>
    </row>
    <row r="63" spans="1:10" ht="12.75" customHeight="1">
      <c r="A63" s="72">
        <f>IF(LEN(B63)=0," ",COUNTA($B$30:B63))</f>
        <v>5</v>
      </c>
      <c r="B63" s="72">
        <v>1</v>
      </c>
      <c r="C63" s="151" t="s">
        <v>240</v>
      </c>
      <c r="D63" s="72"/>
      <c r="E63" s="21"/>
      <c r="F63" s="62"/>
      <c r="G63" s="62"/>
      <c r="H63" s="29"/>
      <c r="I63" s="63">
        <v>4</v>
      </c>
      <c r="J63" s="72" t="s">
        <v>17</v>
      </c>
    </row>
    <row r="64" spans="1:10" ht="12.75" customHeight="1">
      <c r="A64" s="72">
        <f>IF(LEN(B64)=0," ",COUNTA($B$30:B64))</f>
        <v>6</v>
      </c>
      <c r="B64" s="72">
        <v>1</v>
      </c>
      <c r="C64" s="66" t="s">
        <v>239</v>
      </c>
      <c r="D64" s="72" t="s">
        <v>56</v>
      </c>
      <c r="E64" s="75"/>
      <c r="F64" s="62"/>
      <c r="G64" s="62"/>
      <c r="H64" s="29"/>
      <c r="I64" s="63">
        <f ca="1">SUM(I65:I67)</f>
        <v>7.5200000000000003E-2</v>
      </c>
      <c r="J64" s="72" t="s">
        <v>4</v>
      </c>
    </row>
    <row r="65" spans="1:10" ht="12.75" customHeight="1">
      <c r="A65" s="72"/>
      <c r="B65" s="72"/>
      <c r="C65" s="68" t="s">
        <v>238</v>
      </c>
      <c r="D65" s="72" t="s">
        <v>233</v>
      </c>
      <c r="E65" s="20" t="s">
        <v>237</v>
      </c>
      <c r="F65" s="62">
        <f>VLOOKUP(J65,$R$2:$S$22,2,0)</f>
        <v>0.01</v>
      </c>
      <c r="G65" s="119">
        <f ca="1">Eval(E65)*F65</f>
        <v>1.12E-2</v>
      </c>
      <c r="H65" s="29">
        <v>4</v>
      </c>
      <c r="I65" s="63">
        <f ca="1">G65*H65</f>
        <v>4.48E-2</v>
      </c>
      <c r="J65" s="72" t="s">
        <v>4</v>
      </c>
    </row>
    <row r="66" spans="1:10" ht="12.75" customHeight="1">
      <c r="A66" s="72"/>
      <c r="B66" s="72"/>
      <c r="C66" s="68" t="s">
        <v>236</v>
      </c>
      <c r="D66" s="72" t="s">
        <v>233</v>
      </c>
      <c r="E66" s="21" t="s">
        <v>235</v>
      </c>
      <c r="F66" s="62">
        <f>VLOOKUP(J66,$R$2:$S$22,2,0)</f>
        <v>0.01</v>
      </c>
      <c r="G66" s="119">
        <f ca="1">Eval(E66)*F66</f>
        <v>4.0000000000000001E-3</v>
      </c>
      <c r="H66" s="29">
        <v>4</v>
      </c>
      <c r="I66" s="63">
        <f ca="1">G66*H66</f>
        <v>1.6E-2</v>
      </c>
      <c r="J66" s="72" t="s">
        <v>4</v>
      </c>
    </row>
    <row r="67" spans="1:10" ht="12.75" customHeight="1">
      <c r="A67" s="72"/>
      <c r="B67" s="72"/>
      <c r="C67" s="68" t="s">
        <v>234</v>
      </c>
      <c r="D67" s="72" t="s">
        <v>233</v>
      </c>
      <c r="E67" s="21" t="s">
        <v>232</v>
      </c>
      <c r="F67" s="62">
        <f>VLOOKUP(J67,$R$2:$S$22,2,0)</f>
        <v>0.01</v>
      </c>
      <c r="G67" s="119">
        <f ca="1">Eval(E67)*F67</f>
        <v>3.6000000000000003E-3</v>
      </c>
      <c r="H67" s="29">
        <v>4</v>
      </c>
      <c r="I67" s="63">
        <f ca="1">G67*H67</f>
        <v>1.4400000000000001E-2</v>
      </c>
      <c r="J67" s="72" t="s">
        <v>4</v>
      </c>
    </row>
    <row r="68" spans="1:10" ht="12.75" customHeight="1">
      <c r="A68" s="72">
        <f>IF(LEN(B68)=0," ",COUNTA($B$30:B68))</f>
        <v>7</v>
      </c>
      <c r="B68" s="72">
        <v>1</v>
      </c>
      <c r="C68" s="66" t="s">
        <v>231</v>
      </c>
      <c r="D68" s="72" t="s">
        <v>56</v>
      </c>
      <c r="E68" s="75"/>
      <c r="F68" s="62"/>
      <c r="G68" s="62"/>
      <c r="H68" s="29"/>
      <c r="I68" s="63">
        <f ca="1">SUM(I69:I71)</f>
        <v>0.62799999999999989</v>
      </c>
      <c r="J68" s="72" t="s">
        <v>5</v>
      </c>
    </row>
    <row r="69" spans="1:10" ht="12.75" customHeight="1">
      <c r="A69" s="72"/>
      <c r="B69" s="72"/>
      <c r="C69" s="68" t="s">
        <v>230</v>
      </c>
      <c r="D69" s="72" t="s">
        <v>56</v>
      </c>
      <c r="E69" s="30" t="s">
        <v>229</v>
      </c>
      <c r="F69" s="62">
        <f t="shared" ref="F69:F75" si="3">VLOOKUP(J69,$R$2:$S$22,2,0)</f>
        <v>1</v>
      </c>
      <c r="G69" s="119">
        <f ca="1">Eval(E69)*F69</f>
        <v>0.33600000000000002</v>
      </c>
      <c r="H69" s="29">
        <v>4</v>
      </c>
      <c r="I69" s="63">
        <f t="shared" ref="I69:I75" ca="1" si="4">G69*H69</f>
        <v>1.3440000000000001</v>
      </c>
      <c r="J69" s="72" t="s">
        <v>5</v>
      </c>
    </row>
    <row r="70" spans="1:10" ht="12.75" customHeight="1">
      <c r="A70" s="72"/>
      <c r="B70" s="72"/>
      <c r="C70" s="68" t="s">
        <v>228</v>
      </c>
      <c r="D70" s="72" t="s">
        <v>56</v>
      </c>
      <c r="E70" s="20" t="s">
        <v>227</v>
      </c>
      <c r="F70" s="62">
        <f t="shared" si="3"/>
        <v>1</v>
      </c>
      <c r="G70" s="119">
        <f ca="1">-Eval(E70)*F70</f>
        <v>-9.9000000000000019E-2</v>
      </c>
      <c r="H70" s="29">
        <v>4</v>
      </c>
      <c r="I70" s="63">
        <f t="shared" ca="1" si="4"/>
        <v>-0.39600000000000007</v>
      </c>
      <c r="J70" s="72" t="s">
        <v>5</v>
      </c>
    </row>
    <row r="71" spans="1:10" ht="12.75" customHeight="1">
      <c r="A71" s="72"/>
      <c r="B71" s="72"/>
      <c r="C71" s="68" t="s">
        <v>226</v>
      </c>
      <c r="D71" s="72" t="s">
        <v>56</v>
      </c>
      <c r="E71" s="20" t="s">
        <v>225</v>
      </c>
      <c r="F71" s="62">
        <f t="shared" si="3"/>
        <v>1</v>
      </c>
      <c r="G71" s="119">
        <f ca="1">-Eval(E71)*F71</f>
        <v>-8.0000000000000016E-2</v>
      </c>
      <c r="H71" s="29">
        <v>4</v>
      </c>
      <c r="I71" s="63">
        <f t="shared" ca="1" si="4"/>
        <v>-0.32000000000000006</v>
      </c>
      <c r="J71" s="72" t="s">
        <v>5</v>
      </c>
    </row>
    <row r="72" spans="1:10" ht="12.75" customHeight="1">
      <c r="A72" s="72" t="str">
        <f>IF(LEN(B72)=0," ",COUNTA($B$30:B72))</f>
        <v xml:space="preserve"> </v>
      </c>
      <c r="B72" s="72"/>
      <c r="C72" s="66" t="s">
        <v>224</v>
      </c>
      <c r="D72" s="342" t="s">
        <v>59</v>
      </c>
      <c r="E72" s="343"/>
      <c r="F72" s="62">
        <f t="shared" si="3"/>
        <v>1E-3</v>
      </c>
      <c r="G72" s="119">
        <f>4.99*F72</f>
        <v>4.9900000000000005E-3</v>
      </c>
      <c r="H72" s="29">
        <v>4</v>
      </c>
      <c r="I72" s="63">
        <f t="shared" si="4"/>
        <v>1.9960000000000002E-2</v>
      </c>
      <c r="J72" s="72" t="s">
        <v>10</v>
      </c>
    </row>
    <row r="73" spans="1:10" ht="12.75" customHeight="1">
      <c r="A73" s="72" t="str">
        <f>IF(LEN(B73)=0," ",COUNTA($B$30:B73))</f>
        <v xml:space="preserve"> </v>
      </c>
      <c r="B73" s="72"/>
      <c r="C73" s="66" t="s">
        <v>223</v>
      </c>
      <c r="D73" s="342" t="s">
        <v>59</v>
      </c>
      <c r="E73" s="343"/>
      <c r="F73" s="62">
        <f t="shared" si="3"/>
        <v>1E-3</v>
      </c>
      <c r="G73" s="119">
        <f>22.2*F73</f>
        <v>2.2200000000000001E-2</v>
      </c>
      <c r="H73" s="29">
        <v>4</v>
      </c>
      <c r="I73" s="63">
        <f t="shared" si="4"/>
        <v>8.8800000000000004E-2</v>
      </c>
      <c r="J73" s="72" t="s">
        <v>10</v>
      </c>
    </row>
    <row r="74" spans="1:10" ht="12.75" customHeight="1">
      <c r="A74" s="72" t="str">
        <f>IF(LEN(B74)=0," ",COUNTA($B$30:B74))</f>
        <v xml:space="preserve"> </v>
      </c>
      <c r="B74" s="72"/>
      <c r="C74" s="66" t="s">
        <v>222</v>
      </c>
      <c r="D74" s="342" t="s">
        <v>59</v>
      </c>
      <c r="E74" s="343"/>
      <c r="F74" s="62">
        <f t="shared" si="3"/>
        <v>1E-3</v>
      </c>
      <c r="G74" s="119">
        <f>22.2*F74</f>
        <v>2.2200000000000001E-2</v>
      </c>
      <c r="H74" s="29">
        <v>4</v>
      </c>
      <c r="I74" s="63">
        <f t="shared" si="4"/>
        <v>8.8800000000000004E-2</v>
      </c>
      <c r="J74" s="72" t="s">
        <v>10</v>
      </c>
    </row>
    <row r="75" spans="1:10" ht="12.75" customHeight="1">
      <c r="A75" s="72">
        <f>IF(LEN(B75)=0," ",COUNTA($B$30:B75))</f>
        <v>8</v>
      </c>
      <c r="B75" s="72">
        <v>1</v>
      </c>
      <c r="C75" s="66" t="s">
        <v>221</v>
      </c>
      <c r="D75" s="342" t="s">
        <v>59</v>
      </c>
      <c r="E75" s="343"/>
      <c r="F75" s="62">
        <f t="shared" si="3"/>
        <v>1</v>
      </c>
      <c r="G75" s="119">
        <v>2.9</v>
      </c>
      <c r="H75" s="29">
        <v>4</v>
      </c>
      <c r="I75" s="62">
        <f t="shared" si="4"/>
        <v>11.6</v>
      </c>
      <c r="J75" s="72" t="s">
        <v>2</v>
      </c>
    </row>
    <row r="76" spans="1:10" ht="12.75" customHeight="1">
      <c r="A76" s="72">
        <f>IF(LEN(B76)=0," ",COUNTA($B$30:B76))</f>
        <v>9</v>
      </c>
      <c r="B76" s="72">
        <v>1</v>
      </c>
      <c r="C76" s="64" t="s">
        <v>220</v>
      </c>
      <c r="D76" s="367"/>
      <c r="E76" s="368"/>
      <c r="F76" s="62"/>
      <c r="G76" s="119"/>
      <c r="H76" s="29"/>
      <c r="I76" s="63"/>
      <c r="J76" s="72"/>
    </row>
    <row r="77" spans="1:10" ht="12.75" customHeight="1">
      <c r="A77" s="72">
        <f>IF(LEN(B77)=0," ",COUNTA($B$30:B77))</f>
        <v>10</v>
      </c>
      <c r="B77" s="72">
        <v>1</v>
      </c>
      <c r="C77" s="66" t="s">
        <v>219</v>
      </c>
      <c r="D77" s="367" t="s">
        <v>59</v>
      </c>
      <c r="E77" s="368"/>
      <c r="F77" s="62">
        <f>VLOOKUP(J77,$R$2:$S$22,2,0)</f>
        <v>1E-3</v>
      </c>
      <c r="G77" s="119">
        <f>142.785*F77</f>
        <v>0.142785</v>
      </c>
      <c r="H77" s="29">
        <v>4</v>
      </c>
      <c r="I77" s="63">
        <f>G77*H77</f>
        <v>0.57113999999999998</v>
      </c>
      <c r="J77" s="72" t="s">
        <v>218</v>
      </c>
    </row>
    <row r="78" spans="1:10" ht="12.75" customHeight="1">
      <c r="A78" s="72">
        <f>IF(LEN(B78)=0," ",COUNTA($B$30:B78))</f>
        <v>11</v>
      </c>
      <c r="B78" s="72">
        <v>1</v>
      </c>
      <c r="C78" s="66" t="s">
        <v>217</v>
      </c>
      <c r="D78" s="367" t="s">
        <v>59</v>
      </c>
      <c r="E78" s="368"/>
      <c r="F78" s="62">
        <v>1</v>
      </c>
      <c r="G78" s="119">
        <f>4*F78</f>
        <v>4</v>
      </c>
      <c r="H78" s="29">
        <v>4</v>
      </c>
      <c r="I78" s="63">
        <f>G78*H78</f>
        <v>16</v>
      </c>
      <c r="J78" s="147" t="s">
        <v>215</v>
      </c>
    </row>
    <row r="79" spans="1:10" ht="12.75" customHeight="1">
      <c r="A79" s="72">
        <f>IF(LEN(B79)=0," ",COUNTA($B$30:B79))</f>
        <v>12</v>
      </c>
      <c r="B79" s="72">
        <v>1</v>
      </c>
      <c r="C79" s="66" t="s">
        <v>216</v>
      </c>
      <c r="D79" s="367" t="s">
        <v>59</v>
      </c>
      <c r="E79" s="368"/>
      <c r="F79" s="63">
        <v>1</v>
      </c>
      <c r="G79" s="63">
        <f>18*F79</f>
        <v>18</v>
      </c>
      <c r="H79" s="29">
        <v>4</v>
      </c>
      <c r="I79" s="63">
        <f>G79*H79</f>
        <v>72</v>
      </c>
      <c r="J79" s="147" t="s">
        <v>215</v>
      </c>
    </row>
    <row r="80" spans="1:10" ht="12.75" customHeight="1">
      <c r="A80" s="72">
        <f>IF(LEN(B80)=0," ",COUNTA($B$30:B80))</f>
        <v>13</v>
      </c>
      <c r="B80" s="72">
        <v>1</v>
      </c>
      <c r="C80" s="66" t="s">
        <v>214</v>
      </c>
      <c r="D80" s="367" t="s">
        <v>59</v>
      </c>
      <c r="E80" s="368"/>
      <c r="F80" s="62">
        <f>VLOOKUP(J80,$R$2:$S$22,2,0)</f>
        <v>1</v>
      </c>
      <c r="G80" s="62">
        <f>0.2211*F80</f>
        <v>0.22109999999999999</v>
      </c>
      <c r="H80" s="29">
        <v>4</v>
      </c>
      <c r="I80" s="63">
        <f>G80*H80</f>
        <v>0.88439999999999996</v>
      </c>
      <c r="J80" s="72" t="s">
        <v>0</v>
      </c>
    </row>
    <row r="81" spans="1:10">
      <c r="A81" s="2"/>
      <c r="B81" s="2"/>
      <c r="D81" s="2"/>
      <c r="E81" s="2"/>
      <c r="I81" s="2"/>
      <c r="J81" s="2"/>
    </row>
    <row r="82" spans="1:10">
      <c r="A82" s="2"/>
      <c r="B82" s="2"/>
      <c r="D82" s="2"/>
      <c r="E82" s="2"/>
      <c r="I82" s="2"/>
      <c r="J82" s="2"/>
    </row>
    <row r="83" spans="1:10">
      <c r="A83" s="2"/>
      <c r="B83" s="2"/>
      <c r="D83" s="2"/>
      <c r="E83" s="2"/>
      <c r="I83" s="2"/>
      <c r="J83" s="2"/>
    </row>
    <row r="84" spans="1:10" ht="12.75" customHeight="1">
      <c r="A84" s="2"/>
      <c r="B84" s="2"/>
      <c r="D84" s="2"/>
      <c r="E84" s="2"/>
      <c r="I84" s="2"/>
      <c r="J84" s="2"/>
    </row>
    <row r="85" spans="1:10">
      <c r="A85" s="2"/>
      <c r="B85" s="2"/>
      <c r="D85" s="2"/>
      <c r="E85" s="2"/>
      <c r="I85" s="2"/>
      <c r="J85" s="2"/>
    </row>
  </sheetData>
  <mergeCells count="21">
    <mergeCell ref="D44:E44"/>
    <mergeCell ref="D55:E55"/>
    <mergeCell ref="D56:E56"/>
    <mergeCell ref="D60:E60"/>
    <mergeCell ref="D59:E59"/>
    <mergeCell ref="D80:E80"/>
    <mergeCell ref="D72:E72"/>
    <mergeCell ref="A25:I25"/>
    <mergeCell ref="A26:I26"/>
    <mergeCell ref="A27:I27"/>
    <mergeCell ref="A28:I28"/>
    <mergeCell ref="D29:E29"/>
    <mergeCell ref="D75:E75"/>
    <mergeCell ref="D76:E76"/>
    <mergeCell ref="D77:E77"/>
    <mergeCell ref="D78:E78"/>
    <mergeCell ref="D79:E79"/>
    <mergeCell ref="D73:E73"/>
    <mergeCell ref="D74:E74"/>
    <mergeCell ref="D61:E61"/>
    <mergeCell ref="D41:E41"/>
  </mergeCells>
  <conditionalFormatting sqref="D30:J30 A41:B42 A30:B30">
    <cfRule type="expression" dxfId="70" priority="201">
      <formula>$A30=""</formula>
    </cfRule>
  </conditionalFormatting>
  <conditionalFormatting sqref="C30 C41">
    <cfRule type="expression" dxfId="69" priority="200">
      <formula>$A30=""</formula>
    </cfRule>
  </conditionalFormatting>
  <conditionalFormatting sqref="A34:B34 D34:J34 D41:J41 A58:B58 A56:B56 A48:B49 D48:J49 F56:J56 D58:J58 A60:B64 D63:J63 D68:J68 A68:B68 A72:B72 D72:J72 D64:I64 F76:J77 D60:G62 I60:J62 H59:H62 D52:J52 A52:B52 F80:J80 D76 D54:J54 E53:G53 D31:J31 D32 F32:J32 A31:B32 A54:B54 F78:I79 A75:B80 E42 H42">
    <cfRule type="expression" dxfId="68" priority="58">
      <formula>$A31=""</formula>
    </cfRule>
  </conditionalFormatting>
  <conditionalFormatting sqref="C34 C58 C56 C48:C49 C60:C64 C68 C72 C75:C80 C52 C54 C31:C32">
    <cfRule type="expression" dxfId="67" priority="57">
      <formula>$A31=""</formula>
    </cfRule>
  </conditionalFormatting>
  <conditionalFormatting sqref="A33:B33 E33:J33">
    <cfRule type="expression" dxfId="66" priority="56">
      <formula>$A33=""</formula>
    </cfRule>
  </conditionalFormatting>
  <conditionalFormatting sqref="C33">
    <cfRule type="expression" dxfId="65" priority="55">
      <formula>$A33=""</formula>
    </cfRule>
  </conditionalFormatting>
  <conditionalFormatting sqref="D33">
    <cfRule type="expression" dxfId="64" priority="54">
      <formula>$A33=""</formula>
    </cfRule>
  </conditionalFormatting>
  <conditionalFormatting sqref="A35:B40 D35:J40">
    <cfRule type="expression" dxfId="63" priority="53">
      <formula>$A35=""</formula>
    </cfRule>
  </conditionalFormatting>
  <conditionalFormatting sqref="C35:C40">
    <cfRule type="expression" dxfId="62" priority="52">
      <formula>$A35=""</formula>
    </cfRule>
  </conditionalFormatting>
  <conditionalFormatting sqref="A43:B43 D43:J43 G42 I42">
    <cfRule type="expression" dxfId="61" priority="51">
      <formula>$A42=""</formula>
    </cfRule>
  </conditionalFormatting>
  <conditionalFormatting sqref="C43">
    <cfRule type="expression" dxfId="60" priority="50">
      <formula>$A43=""</formula>
    </cfRule>
  </conditionalFormatting>
  <conditionalFormatting sqref="A44:B45 D44:J45">
    <cfRule type="expression" dxfId="59" priority="49">
      <formula>$A44=""</formula>
    </cfRule>
  </conditionalFormatting>
  <conditionalFormatting sqref="C44:C45">
    <cfRule type="expression" dxfId="58" priority="48">
      <formula>$A44=""</formula>
    </cfRule>
  </conditionalFormatting>
  <conditionalFormatting sqref="C57">
    <cfRule type="expression" dxfId="57" priority="46">
      <formula>$A57=""</formula>
    </cfRule>
  </conditionalFormatting>
  <conditionalFormatting sqref="D57:J57 B57">
    <cfRule type="expression" dxfId="56" priority="47">
      <formula>$A57=""</formula>
    </cfRule>
  </conditionalFormatting>
  <conditionalFormatting sqref="F55:G55 A55:B55 I55:J55">
    <cfRule type="expression" dxfId="55" priority="45">
      <formula>$A55=""</formula>
    </cfRule>
  </conditionalFormatting>
  <conditionalFormatting sqref="C55">
    <cfRule type="expression" dxfId="54" priority="44">
      <formula>$A55=""</formula>
    </cfRule>
  </conditionalFormatting>
  <conditionalFormatting sqref="D55:E56">
    <cfRule type="expression" dxfId="53" priority="43">
      <formula>$A55=""</formula>
    </cfRule>
  </conditionalFormatting>
  <conditionalFormatting sqref="H55">
    <cfRule type="expression" dxfId="52" priority="42">
      <formula>$A55=""</formula>
    </cfRule>
  </conditionalFormatting>
  <conditionalFormatting sqref="D59:G59 A59:B59 I59:J59">
    <cfRule type="expression" dxfId="51" priority="41">
      <formula>$A59=""</formula>
    </cfRule>
  </conditionalFormatting>
  <conditionalFormatting sqref="C59">
    <cfRule type="expression" dxfId="50" priority="40">
      <formula>$A59=""</formula>
    </cfRule>
  </conditionalFormatting>
  <conditionalFormatting sqref="A65:B67">
    <cfRule type="expression" dxfId="49" priority="39">
      <formula>$A65=""</formula>
    </cfRule>
  </conditionalFormatting>
  <conditionalFormatting sqref="F65:J65 H66:H67 J64">
    <cfRule type="expression" dxfId="48" priority="38">
      <formula>$A64=""</formula>
    </cfRule>
  </conditionalFormatting>
  <conditionalFormatting sqref="C65">
    <cfRule type="expression" dxfId="47" priority="37">
      <formula>$A65=""</formula>
    </cfRule>
  </conditionalFormatting>
  <conditionalFormatting sqref="D65">
    <cfRule type="expression" dxfId="46" priority="36">
      <formula>$A65=""</formula>
    </cfRule>
  </conditionalFormatting>
  <conditionalFormatting sqref="E65">
    <cfRule type="expression" dxfId="45" priority="35">
      <formula>$A65=""</formula>
    </cfRule>
  </conditionalFormatting>
  <conditionalFormatting sqref="F66:G66 I66:J66">
    <cfRule type="expression" dxfId="44" priority="34">
      <formula>$A66=""</formula>
    </cfRule>
  </conditionalFormatting>
  <conditionalFormatting sqref="C66">
    <cfRule type="expression" dxfId="43" priority="33">
      <formula>$A66=""</formula>
    </cfRule>
  </conditionalFormatting>
  <conditionalFormatting sqref="D66">
    <cfRule type="expression" dxfId="42" priority="32">
      <formula>$A66=""</formula>
    </cfRule>
  </conditionalFormatting>
  <conditionalFormatting sqref="D67">
    <cfRule type="expression" dxfId="41" priority="29">
      <formula>$A67=""</formula>
    </cfRule>
  </conditionalFormatting>
  <conditionalFormatting sqref="F67:G67 I67:J67">
    <cfRule type="expression" dxfId="40" priority="31">
      <formula>$A67=""</formula>
    </cfRule>
  </conditionalFormatting>
  <conditionalFormatting sqref="C67">
    <cfRule type="expression" dxfId="39" priority="30">
      <formula>$A67=""</formula>
    </cfRule>
  </conditionalFormatting>
  <conditionalFormatting sqref="E67">
    <cfRule type="expression" dxfId="38" priority="27">
      <formula>$A67=""</formula>
    </cfRule>
  </conditionalFormatting>
  <conditionalFormatting sqref="E66">
    <cfRule type="expression" dxfId="37" priority="28">
      <formula>$A66=""</formula>
    </cfRule>
  </conditionalFormatting>
  <conditionalFormatting sqref="A69:B71 D69:G71 I69:J71">
    <cfRule type="expression" dxfId="36" priority="26">
      <formula>$A69=""</formula>
    </cfRule>
  </conditionalFormatting>
  <conditionalFormatting sqref="C69">
    <cfRule type="expression" dxfId="35" priority="25">
      <formula>$A69=""</formula>
    </cfRule>
  </conditionalFormatting>
  <conditionalFormatting sqref="C70">
    <cfRule type="expression" dxfId="34" priority="24">
      <formula>$A70=""</formula>
    </cfRule>
  </conditionalFormatting>
  <conditionalFormatting sqref="C71">
    <cfRule type="expression" dxfId="33" priority="23">
      <formula>$A71=""</formula>
    </cfRule>
  </conditionalFormatting>
  <conditionalFormatting sqref="H69:H71">
    <cfRule type="expression" dxfId="32" priority="22">
      <formula>$A69=""</formula>
    </cfRule>
  </conditionalFormatting>
  <conditionalFormatting sqref="A73:B73 D73:J73">
    <cfRule type="expression" dxfId="31" priority="21">
      <formula>$A73=""</formula>
    </cfRule>
  </conditionalFormatting>
  <conditionalFormatting sqref="C73">
    <cfRule type="expression" dxfId="30" priority="20">
      <formula>$A73=""</formula>
    </cfRule>
  </conditionalFormatting>
  <conditionalFormatting sqref="F75:J75">
    <cfRule type="expression" dxfId="29" priority="19">
      <formula>$A75=""</formula>
    </cfRule>
  </conditionalFormatting>
  <conditionalFormatting sqref="D75:E75">
    <cfRule type="expression" dxfId="28" priority="18">
      <formula>$A75=""</formula>
    </cfRule>
  </conditionalFormatting>
  <conditionalFormatting sqref="D77:D80">
    <cfRule type="expression" dxfId="27" priority="17">
      <formula>$A77=""</formula>
    </cfRule>
  </conditionalFormatting>
  <conditionalFormatting sqref="J78">
    <cfRule type="expression" dxfId="26" priority="16">
      <formula>$A78=""</formula>
    </cfRule>
  </conditionalFormatting>
  <conditionalFormatting sqref="J79">
    <cfRule type="expression" dxfId="25" priority="15">
      <formula>$A79=""</formula>
    </cfRule>
  </conditionalFormatting>
  <conditionalFormatting sqref="A46:B47 D46:J47">
    <cfRule type="expression" dxfId="24" priority="14">
      <formula>$A46=""</formula>
    </cfRule>
  </conditionalFormatting>
  <conditionalFormatting sqref="C46:C47">
    <cfRule type="expression" dxfId="23" priority="13">
      <formula>$A46=""</formula>
    </cfRule>
  </conditionalFormatting>
  <conditionalFormatting sqref="A50:B51 D50:J51">
    <cfRule type="expression" dxfId="22" priority="12">
      <formula>$A50=""</formula>
    </cfRule>
  </conditionalFormatting>
  <conditionalFormatting sqref="C50:C51">
    <cfRule type="expression" dxfId="21" priority="11">
      <formula>$A50=""</formula>
    </cfRule>
  </conditionalFormatting>
  <conditionalFormatting sqref="E32">
    <cfRule type="expression" dxfId="20" priority="10">
      <formula>#REF!=""</formula>
    </cfRule>
  </conditionalFormatting>
  <conditionalFormatting sqref="C53">
    <cfRule type="expression" dxfId="19" priority="8">
      <formula>$A53=""</formula>
    </cfRule>
  </conditionalFormatting>
  <conditionalFormatting sqref="A53:B53 D53 H53:J53">
    <cfRule type="expression" dxfId="18" priority="9">
      <formula>$A53=""</formula>
    </cfRule>
  </conditionalFormatting>
  <conditionalFormatting sqref="A57">
    <cfRule type="expression" dxfId="17" priority="7">
      <formula>$A57=""</formula>
    </cfRule>
  </conditionalFormatting>
  <conditionalFormatting sqref="A74:B74 D74:J74">
    <cfRule type="expression" dxfId="16" priority="6">
      <formula>$A74=""</formula>
    </cfRule>
  </conditionalFormatting>
  <conditionalFormatting sqref="C74">
    <cfRule type="expression" dxfId="15" priority="5">
      <formula>$A74=""</formula>
    </cfRule>
  </conditionalFormatting>
  <conditionalFormatting sqref="C42">
    <cfRule type="expression" dxfId="14" priority="4">
      <formula>$A42=""</formula>
    </cfRule>
  </conditionalFormatting>
  <conditionalFormatting sqref="D42">
    <cfRule type="expression" dxfId="13" priority="3">
      <formula>$A42=""</formula>
    </cfRule>
  </conditionalFormatting>
  <conditionalFormatting sqref="F42">
    <cfRule type="expression" dxfId="12" priority="2">
      <formula>$A42=""</formula>
    </cfRule>
  </conditionalFormatting>
  <conditionalFormatting sqref="J42">
    <cfRule type="expression" dxfId="11" priority="1">
      <formula>$A42=""</formula>
    </cfRule>
  </conditionalFormatting>
  <dataValidations count="1">
    <dataValidation type="list" allowBlank="1" showInputMessage="1" showErrorMessage="1" sqref="J80 J30:J77" xr:uid="{00000000-0002-0000-0700-000000000000}">
      <formula1>$R$2:$R$22</formula1>
    </dataValidation>
  </dataValidations>
  <printOptions horizontalCentered="1"/>
  <pageMargins left="0.70866141732283472" right="0" top="0.74803149606299213" bottom="0.74803149606299213" header="0.31496062992125984" footer="0.31496062992125984"/>
  <pageSetup scale="82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X42"/>
  <sheetViews>
    <sheetView view="pageBreakPreview" topLeftCell="A24" zoomScale="60" zoomScaleNormal="100" workbookViewId="0">
      <selection activeCell="D39" sqref="D39:E39"/>
    </sheetView>
  </sheetViews>
  <sheetFormatPr defaultColWidth="9.109375" defaultRowHeight="13.2"/>
  <cols>
    <col min="1" max="1" width="9.44140625" style="1" customWidth="1"/>
    <col min="2" max="2" width="4.33203125" style="1" hidden="1" customWidth="1"/>
    <col min="3" max="3" width="31" style="2" customWidth="1"/>
    <col min="4" max="4" width="14.33203125" style="1" bestFit="1" customWidth="1"/>
    <col min="5" max="5" width="34" style="1" customWidth="1"/>
    <col min="6" max="6" width="6" style="2" bestFit="1" customWidth="1"/>
    <col min="7" max="7" width="8.6640625" style="2" customWidth="1"/>
    <col min="8" max="8" width="6.5546875" style="2" bestFit="1" customWidth="1"/>
    <col min="9" max="9" width="17.33203125" style="35" customWidth="1"/>
    <col min="10" max="10" width="10.44140625" style="35" customWidth="1"/>
    <col min="11" max="11" width="9.109375" style="2"/>
    <col min="12" max="12" width="32.33203125" style="2" bestFit="1" customWidth="1"/>
    <col min="13" max="13" width="9.109375" style="2"/>
    <col min="14" max="14" width="5.44140625" style="2" customWidth="1"/>
    <col min="15" max="15" width="14.5546875" style="2" customWidth="1"/>
    <col min="16" max="16384" width="9.109375" style="2"/>
  </cols>
  <sheetData>
    <row r="1" spans="1:19" ht="16.8" hidden="1">
      <c r="I1" s="32"/>
      <c r="J1" s="32"/>
      <c r="R1" s="3" t="s">
        <v>13</v>
      </c>
      <c r="S1" s="4" t="s">
        <v>19</v>
      </c>
    </row>
    <row r="2" spans="1:19" s="5" customFormat="1" ht="16.8" hidden="1">
      <c r="I2" s="32"/>
      <c r="J2" s="32"/>
      <c r="R2" s="6" t="s">
        <v>2</v>
      </c>
      <c r="S2" s="7">
        <v>1</v>
      </c>
    </row>
    <row r="3" spans="1:19" s="5" customFormat="1" ht="16.8" hidden="1">
      <c r="I3" s="32"/>
      <c r="J3" s="32"/>
      <c r="R3" s="6" t="s">
        <v>0</v>
      </c>
      <c r="S3" s="7">
        <v>1</v>
      </c>
    </row>
    <row r="4" spans="1:19" s="5" customFormat="1" ht="16.8" hidden="1">
      <c r="I4" s="32"/>
      <c r="J4" s="32"/>
      <c r="R4" s="6" t="s">
        <v>5</v>
      </c>
      <c r="S4" s="7">
        <v>1</v>
      </c>
    </row>
    <row r="5" spans="1:19" ht="16.8" hidden="1">
      <c r="I5" s="32"/>
      <c r="J5" s="32"/>
      <c r="R5" s="3" t="s">
        <v>6</v>
      </c>
      <c r="S5" s="4">
        <v>0.01</v>
      </c>
    </row>
    <row r="6" spans="1:19" ht="16.8" hidden="1">
      <c r="I6" s="32"/>
      <c r="J6" s="32"/>
      <c r="R6" s="3" t="s">
        <v>7</v>
      </c>
      <c r="S6" s="4">
        <v>0.01</v>
      </c>
    </row>
    <row r="7" spans="1:19" s="5" customFormat="1" ht="16.8" hidden="1">
      <c r="I7" s="32"/>
      <c r="J7" s="32"/>
      <c r="R7" s="3" t="s">
        <v>4</v>
      </c>
      <c r="S7" s="4">
        <v>0.01</v>
      </c>
    </row>
    <row r="8" spans="1:19" s="5" customFormat="1" ht="16.8" hidden="1">
      <c r="I8" s="32"/>
      <c r="J8" s="32"/>
      <c r="R8" s="3" t="s">
        <v>10</v>
      </c>
      <c r="S8" s="4">
        <v>1E-3</v>
      </c>
    </row>
    <row r="9" spans="1:19" ht="16.8" hidden="1">
      <c r="I9" s="32"/>
      <c r="J9" s="32"/>
      <c r="R9" s="3" t="s">
        <v>14</v>
      </c>
      <c r="S9" s="4">
        <v>1</v>
      </c>
    </row>
    <row r="10" spans="1:19" ht="16.8" hidden="1">
      <c r="I10" s="32"/>
      <c r="J10" s="32"/>
      <c r="R10" s="3" t="s">
        <v>15</v>
      </c>
      <c r="S10" s="4">
        <v>1</v>
      </c>
    </row>
    <row r="11" spans="1:19" ht="16.8" hidden="1">
      <c r="I11" s="32"/>
      <c r="J11" s="32"/>
      <c r="R11" s="3" t="s">
        <v>22</v>
      </c>
      <c r="S11" s="4">
        <v>1</v>
      </c>
    </row>
    <row r="12" spans="1:19" ht="16.8" hidden="1">
      <c r="I12" s="32"/>
      <c r="J12" s="32"/>
      <c r="R12" s="3" t="s">
        <v>23</v>
      </c>
      <c r="S12" s="4">
        <v>1</v>
      </c>
    </row>
    <row r="13" spans="1:19" ht="16.8" hidden="1">
      <c r="I13" s="32"/>
      <c r="J13" s="32"/>
      <c r="R13" s="3" t="s">
        <v>24</v>
      </c>
      <c r="S13" s="4">
        <v>1</v>
      </c>
    </row>
    <row r="14" spans="1:19" ht="16.8" hidden="1">
      <c r="I14" s="32"/>
      <c r="J14" s="32"/>
      <c r="R14" s="3" t="s">
        <v>16</v>
      </c>
      <c r="S14" s="4">
        <v>1</v>
      </c>
    </row>
    <row r="15" spans="1:19" ht="16.8" hidden="1">
      <c r="A15" s="2"/>
      <c r="B15" s="2"/>
      <c r="D15" s="2"/>
      <c r="E15" s="2"/>
      <c r="I15" s="31"/>
      <c r="J15" s="31"/>
      <c r="R15" s="3" t="s">
        <v>21</v>
      </c>
      <c r="S15" s="4">
        <v>1</v>
      </c>
    </row>
    <row r="16" spans="1:19" ht="16.8" hidden="1">
      <c r="I16" s="32"/>
      <c r="J16" s="32"/>
      <c r="R16" s="3" t="s">
        <v>25</v>
      </c>
      <c r="S16" s="4">
        <v>1</v>
      </c>
    </row>
    <row r="17" spans="1:24" ht="16.8" hidden="1">
      <c r="I17" s="32"/>
      <c r="J17" s="32"/>
      <c r="R17" s="8" t="s">
        <v>17</v>
      </c>
      <c r="S17" s="9">
        <v>1</v>
      </c>
    </row>
    <row r="18" spans="1:24" ht="16.8" hidden="1">
      <c r="I18" s="32"/>
      <c r="J18" s="32"/>
      <c r="R18" s="8" t="s">
        <v>26</v>
      </c>
      <c r="S18" s="9">
        <v>1</v>
      </c>
    </row>
    <row r="19" spans="1:24" ht="16.8" hidden="1">
      <c r="I19" s="32"/>
      <c r="J19" s="32"/>
      <c r="R19" s="3"/>
      <c r="S19" s="4"/>
    </row>
    <row r="20" spans="1:24" ht="16.8" hidden="1">
      <c r="A20" s="2"/>
      <c r="B20" s="2"/>
      <c r="D20" s="2"/>
      <c r="E20" s="2"/>
      <c r="I20" s="31"/>
      <c r="J20" s="31"/>
      <c r="R20" s="3"/>
      <c r="S20" s="4"/>
    </row>
    <row r="21" spans="1:24" ht="16.8" hidden="1">
      <c r="I21" s="32"/>
      <c r="J21" s="32"/>
      <c r="R21" s="3"/>
      <c r="S21" s="4"/>
    </row>
    <row r="22" spans="1:24" ht="16.8" hidden="1">
      <c r="I22" s="32"/>
      <c r="J22" s="32"/>
      <c r="R22" s="3"/>
      <c r="S22" s="4"/>
    </row>
    <row r="23" spans="1:24" ht="16.8" hidden="1">
      <c r="A23" s="2"/>
      <c r="B23" s="2"/>
      <c r="D23" s="2"/>
      <c r="E23" s="2"/>
      <c r="I23" s="31"/>
      <c r="J23" s="31"/>
      <c r="K23" s="10"/>
      <c r="L23" s="11"/>
    </row>
    <row r="24" spans="1:24" ht="21" customHeight="1">
      <c r="A24" s="2"/>
      <c r="B24" s="2"/>
      <c r="D24" s="2"/>
      <c r="E24" s="2"/>
      <c r="I24" s="31"/>
      <c r="J24" s="31"/>
    </row>
    <row r="25" spans="1:24" ht="17.399999999999999">
      <c r="A25" s="331" t="s">
        <v>433</v>
      </c>
      <c r="B25" s="331"/>
      <c r="C25" s="331"/>
      <c r="D25" s="331"/>
      <c r="E25" s="331"/>
      <c r="F25" s="331"/>
      <c r="G25" s="331"/>
      <c r="H25" s="331"/>
      <c r="I25" s="331"/>
      <c r="J25" s="261"/>
    </row>
    <row r="26" spans="1:24" ht="13.8">
      <c r="A26" s="332" t="s">
        <v>367</v>
      </c>
      <c r="B26" s="332"/>
      <c r="C26" s="332"/>
      <c r="D26" s="332"/>
      <c r="E26" s="332"/>
      <c r="F26" s="332"/>
      <c r="G26" s="332"/>
      <c r="H26" s="332"/>
      <c r="I26" s="332"/>
      <c r="J26" s="259"/>
    </row>
    <row r="27" spans="1:24" s="12" customFormat="1" ht="14.4">
      <c r="A27" s="349" t="s">
        <v>368</v>
      </c>
      <c r="B27" s="349"/>
      <c r="C27" s="349"/>
      <c r="D27" s="349"/>
      <c r="E27" s="349"/>
      <c r="F27" s="349"/>
      <c r="G27" s="349"/>
      <c r="H27" s="349"/>
      <c r="I27" s="349"/>
      <c r="J27" s="260"/>
    </row>
    <row r="28" spans="1:24" s="12" customFormat="1">
      <c r="A28" s="350"/>
      <c r="B28" s="350"/>
      <c r="C28" s="350"/>
      <c r="D28" s="350"/>
      <c r="E28" s="350"/>
      <c r="F28" s="350"/>
      <c r="G28" s="350"/>
      <c r="H28" s="350"/>
      <c r="I28" s="350"/>
      <c r="J28" s="40"/>
    </row>
    <row r="29" spans="1:24" s="16" customFormat="1" ht="26.4">
      <c r="A29" s="13" t="s">
        <v>3</v>
      </c>
      <c r="B29" s="14" t="s">
        <v>18</v>
      </c>
      <c r="C29" s="13" t="s">
        <v>11</v>
      </c>
      <c r="D29" s="351" t="s">
        <v>30</v>
      </c>
      <c r="E29" s="352"/>
      <c r="F29" s="13" t="s">
        <v>20</v>
      </c>
      <c r="G29" s="76" t="s">
        <v>31</v>
      </c>
      <c r="H29" s="76" t="s">
        <v>32</v>
      </c>
      <c r="I29" s="33" t="s">
        <v>8</v>
      </c>
      <c r="J29" s="13" t="s">
        <v>9</v>
      </c>
    </row>
    <row r="30" spans="1:24">
      <c r="A30" s="262" t="s">
        <v>101</v>
      </c>
      <c r="B30" s="262"/>
      <c r="C30" s="64" t="s">
        <v>295</v>
      </c>
      <c r="D30" s="262"/>
      <c r="E30" s="262"/>
      <c r="F30" s="63"/>
      <c r="G30" s="7"/>
      <c r="H30" s="17"/>
      <c r="I30" s="34"/>
      <c r="J30" s="262" t="s">
        <v>16</v>
      </c>
    </row>
    <row r="31" spans="1:24">
      <c r="A31" s="72">
        <f>IF(LEN(B31)=0," ",COUNTA($B$30:B31))</f>
        <v>1</v>
      </c>
      <c r="B31" s="72">
        <v>1</v>
      </c>
      <c r="C31" s="64" t="s">
        <v>296</v>
      </c>
      <c r="D31" s="262"/>
      <c r="E31" s="262"/>
      <c r="F31" s="63"/>
      <c r="G31" s="7"/>
      <c r="H31" s="17"/>
      <c r="I31" s="34"/>
      <c r="J31" s="262" t="s">
        <v>5</v>
      </c>
    </row>
    <row r="32" spans="1:24">
      <c r="A32" s="72" t="s">
        <v>253</v>
      </c>
      <c r="B32" s="72"/>
      <c r="C32" s="66" t="s">
        <v>297</v>
      </c>
      <c r="D32" s="342" t="s">
        <v>59</v>
      </c>
      <c r="E32" s="343"/>
      <c r="F32" s="62">
        <f>VLOOKUP(J32,$R$2:$S$22,2,0)</f>
        <v>1</v>
      </c>
      <c r="G32" s="23">
        <f>0.47*F32</f>
        <v>0.47</v>
      </c>
      <c r="H32" s="29">
        <v>72</v>
      </c>
      <c r="I32" s="34">
        <f>G32*H32</f>
        <v>33.839999999999996</v>
      </c>
      <c r="J32" s="72" t="s">
        <v>5</v>
      </c>
      <c r="M32" s="370"/>
      <c r="N32" s="373"/>
      <c r="O32" s="370"/>
      <c r="P32" s="373"/>
      <c r="Q32" s="370"/>
      <c r="R32" s="370"/>
      <c r="S32" s="370"/>
      <c r="T32" s="370"/>
      <c r="U32" s="370"/>
      <c r="V32" s="370"/>
      <c r="W32" s="370"/>
      <c r="X32" s="372"/>
    </row>
    <row r="33" spans="1:24">
      <c r="A33" s="72" t="s">
        <v>253</v>
      </c>
      <c r="B33" s="72"/>
      <c r="C33" s="66" t="s">
        <v>402</v>
      </c>
      <c r="D33" s="342" t="s">
        <v>59</v>
      </c>
      <c r="E33" s="343"/>
      <c r="F33" s="62">
        <f t="shared" ref="F33:F35" si="0">VLOOKUP(J33,$R$2:$S$22,2,0)</f>
        <v>1</v>
      </c>
      <c r="G33" s="23">
        <f>1.18*F33</f>
        <v>1.18</v>
      </c>
      <c r="H33" s="29">
        <v>72</v>
      </c>
      <c r="I33" s="34">
        <f>G33*H33</f>
        <v>84.96</v>
      </c>
      <c r="J33" s="72" t="s">
        <v>5</v>
      </c>
      <c r="M33" s="370"/>
      <c r="N33" s="373"/>
      <c r="O33" s="370"/>
      <c r="P33" s="373"/>
      <c r="Q33" s="370"/>
      <c r="R33" s="370"/>
      <c r="S33" s="264"/>
      <c r="T33" s="264"/>
      <c r="U33" s="264"/>
      <c r="V33" s="370"/>
      <c r="W33" s="370"/>
      <c r="X33" s="372"/>
    </row>
    <row r="34" spans="1:24">
      <c r="A34" s="72">
        <f>IF(LEN(B34)=0," ",COUNTA($B$30:B34))</f>
        <v>2</v>
      </c>
      <c r="B34" s="72">
        <v>2</v>
      </c>
      <c r="C34" s="64" t="s">
        <v>296</v>
      </c>
      <c r="D34" s="72"/>
      <c r="E34" s="72"/>
      <c r="F34" s="62"/>
      <c r="G34" s="28"/>
      <c r="H34" s="29"/>
      <c r="I34" s="34"/>
      <c r="J34" s="72" t="s">
        <v>4</v>
      </c>
      <c r="M34" s="263"/>
      <c r="N34" s="263"/>
      <c r="O34" s="80"/>
      <c r="P34" s="263"/>
      <c r="Q34" s="263"/>
      <c r="R34" s="263"/>
      <c r="S34" s="371"/>
      <c r="T34" s="371"/>
      <c r="U34" s="371"/>
      <c r="V34" s="80"/>
      <c r="W34" s="81"/>
      <c r="X34" s="82"/>
    </row>
    <row r="35" spans="1:24">
      <c r="A35" s="72" t="s">
        <v>253</v>
      </c>
      <c r="B35" s="72"/>
      <c r="C35" s="66" t="s">
        <v>298</v>
      </c>
      <c r="D35" s="342" t="s">
        <v>59</v>
      </c>
      <c r="E35" s="343"/>
      <c r="F35" s="62">
        <f t="shared" si="0"/>
        <v>0.01</v>
      </c>
      <c r="G35" s="28">
        <f>18.55*F35</f>
        <v>0.1855</v>
      </c>
      <c r="H35" s="29">
        <v>72</v>
      </c>
      <c r="I35" s="34">
        <f>G35*H35</f>
        <v>13.356</v>
      </c>
      <c r="J35" s="72" t="s">
        <v>4</v>
      </c>
      <c r="M35" s="263"/>
      <c r="N35" s="263"/>
      <c r="O35" s="133"/>
      <c r="P35" s="134"/>
      <c r="Q35" s="263"/>
      <c r="R35" s="263"/>
      <c r="S35" s="371"/>
      <c r="T35" s="371"/>
      <c r="U35" s="371"/>
      <c r="V35" s="80"/>
      <c r="W35" s="80"/>
      <c r="X35" s="82"/>
    </row>
    <row r="36" spans="1:24">
      <c r="A36" s="72" t="s">
        <v>253</v>
      </c>
      <c r="B36" s="72"/>
      <c r="C36" s="66" t="s">
        <v>435</v>
      </c>
      <c r="D36" s="342" t="s">
        <v>59</v>
      </c>
      <c r="E36" s="343"/>
      <c r="F36" s="62">
        <v>0.01</v>
      </c>
      <c r="G36" s="28">
        <f>2*(0.8+5.9)*0.1*F36</f>
        <v>1.34E-2</v>
      </c>
      <c r="H36" s="29">
        <v>72</v>
      </c>
      <c r="I36" s="34">
        <f>G36*H36</f>
        <v>0.96479999999999999</v>
      </c>
      <c r="J36" s="72" t="s">
        <v>4</v>
      </c>
      <c r="M36" s="263"/>
      <c r="N36" s="263"/>
      <c r="O36" s="133"/>
      <c r="P36" s="134"/>
      <c r="Q36" s="263"/>
      <c r="R36" s="263"/>
      <c r="S36" s="265"/>
      <c r="T36" s="265"/>
      <c r="U36" s="265"/>
      <c r="V36" s="80"/>
      <c r="W36" s="80"/>
      <c r="X36" s="82"/>
    </row>
    <row r="37" spans="1:24">
      <c r="A37" s="72">
        <f>IF(LEN(B37)=0," ",COUNTA($B$30:B37))</f>
        <v>3</v>
      </c>
      <c r="B37" s="72">
        <v>4</v>
      </c>
      <c r="C37" s="64" t="s">
        <v>299</v>
      </c>
      <c r="D37" s="72"/>
      <c r="E37" s="21"/>
      <c r="F37" s="62"/>
      <c r="G37" s="23"/>
      <c r="H37" s="29"/>
      <c r="I37" s="34"/>
      <c r="J37" s="72"/>
      <c r="M37" s="263"/>
      <c r="N37" s="263"/>
      <c r="O37" s="80"/>
      <c r="P37" s="263"/>
      <c r="Q37" s="263"/>
      <c r="R37" s="83"/>
      <c r="S37" s="369"/>
      <c r="T37" s="369"/>
      <c r="U37" s="369"/>
      <c r="V37" s="80"/>
      <c r="W37" s="84"/>
      <c r="X37" s="85"/>
    </row>
    <row r="38" spans="1:24">
      <c r="A38" s="72" t="str">
        <f>IF(LEN(B38)=0," ",COUNTA($B$30:B38))</f>
        <v xml:space="preserve"> </v>
      </c>
      <c r="B38" s="72"/>
      <c r="C38" s="66" t="s">
        <v>224</v>
      </c>
      <c r="D38" s="342" t="s">
        <v>59</v>
      </c>
      <c r="E38" s="343"/>
      <c r="F38" s="62">
        <f>VLOOKUP(J38,$R$2:$S$22,2,0)</f>
        <v>1E-3</v>
      </c>
      <c r="G38" s="4">
        <f>103.25*F38</f>
        <v>0.10325000000000001</v>
      </c>
      <c r="H38" s="29">
        <v>72</v>
      </c>
      <c r="I38" s="34">
        <f>G38*H38</f>
        <v>7.4340000000000011</v>
      </c>
      <c r="J38" s="72" t="s">
        <v>10</v>
      </c>
      <c r="M38" s="263"/>
      <c r="N38" s="263"/>
      <c r="O38" s="83"/>
      <c r="P38" s="263"/>
      <c r="Q38" s="263"/>
      <c r="R38" s="80"/>
      <c r="S38" s="369"/>
      <c r="T38" s="369"/>
      <c r="U38" s="369"/>
      <c r="V38" s="80"/>
      <c r="W38" s="86"/>
      <c r="X38" s="87"/>
    </row>
    <row r="39" spans="1:24">
      <c r="A39" s="72">
        <f>IF(LEN(B39)=0," ",COUNTA($B$30:B39))</f>
        <v>4</v>
      </c>
      <c r="B39" s="72">
        <v>5</v>
      </c>
      <c r="C39" s="64" t="s">
        <v>244</v>
      </c>
      <c r="D39" s="342"/>
      <c r="E39" s="343"/>
      <c r="F39" s="62"/>
      <c r="G39" s="28"/>
      <c r="H39" s="29"/>
      <c r="I39" s="34"/>
      <c r="J39" s="72"/>
      <c r="M39" s="263"/>
      <c r="N39" s="263"/>
      <c r="O39" s="83"/>
      <c r="P39" s="263"/>
      <c r="Q39" s="263"/>
      <c r="R39" s="80"/>
      <c r="S39" s="369"/>
      <c r="T39" s="369"/>
      <c r="U39" s="369"/>
      <c r="V39" s="80"/>
      <c r="W39" s="86"/>
      <c r="X39" s="85"/>
    </row>
    <row r="40" spans="1:24">
      <c r="A40" s="72" t="str">
        <f>IF(LEN(B40)=0," ",COUNTA($B$30:B40))</f>
        <v xml:space="preserve"> </v>
      </c>
      <c r="B40" s="72"/>
      <c r="C40" s="65" t="s">
        <v>265</v>
      </c>
      <c r="D40" s="72" t="s">
        <v>56</v>
      </c>
      <c r="E40" s="72" t="s">
        <v>401</v>
      </c>
      <c r="F40" s="62">
        <v>1</v>
      </c>
      <c r="G40" s="28">
        <f ca="1">Eval(E40)*F40</f>
        <v>3.9199999999999999E-2</v>
      </c>
      <c r="H40" s="29">
        <v>422</v>
      </c>
      <c r="I40" s="34">
        <f ca="1">G40*H40</f>
        <v>16.542400000000001</v>
      </c>
      <c r="J40" s="72" t="s">
        <v>5</v>
      </c>
      <c r="M40" s="263"/>
      <c r="N40" s="263"/>
      <c r="O40" s="83"/>
      <c r="P40" s="263"/>
      <c r="Q40" s="263"/>
      <c r="R40" s="80"/>
      <c r="S40" s="369"/>
      <c r="T40" s="369"/>
      <c r="U40" s="369"/>
      <c r="V40" s="80"/>
      <c r="W40" s="86"/>
      <c r="X40" s="87"/>
    </row>
    <row r="41" spans="1:24">
      <c r="A41" s="72" t="str">
        <f>IF(LEN(B41)=0," ",COUNTA($B$30:B41))</f>
        <v xml:space="preserve"> </v>
      </c>
      <c r="B41" s="72"/>
      <c r="C41" s="65" t="s">
        <v>224</v>
      </c>
      <c r="D41" s="342" t="s">
        <v>59</v>
      </c>
      <c r="E41" s="343"/>
      <c r="F41" s="62">
        <f>VLOOKUP(J41,$R$2:$S$22,2,0)</f>
        <v>1E-3</v>
      </c>
      <c r="G41" s="28">
        <f>3.33*F41</f>
        <v>3.3300000000000001E-3</v>
      </c>
      <c r="H41" s="29">
        <v>422</v>
      </c>
      <c r="I41" s="34">
        <f>G41*H41</f>
        <v>1.40526</v>
      </c>
      <c r="J41" s="72" t="s">
        <v>10</v>
      </c>
    </row>
    <row r="42" spans="1:24">
      <c r="A42" s="72" t="str">
        <f>IF(LEN(B42)=0," ",COUNTA($B$30:B42))</f>
        <v xml:space="preserve"> </v>
      </c>
      <c r="B42" s="72"/>
      <c r="C42" s="65" t="s">
        <v>241</v>
      </c>
      <c r="D42" s="342" t="s">
        <v>59</v>
      </c>
      <c r="E42" s="343"/>
      <c r="F42" s="62">
        <f>VLOOKUP(J42,$R$2:$S$22,2,0)</f>
        <v>0.01</v>
      </c>
      <c r="G42" s="28">
        <f>0.24*F42</f>
        <v>2.3999999999999998E-3</v>
      </c>
      <c r="H42" s="29">
        <v>422</v>
      </c>
      <c r="I42" s="34">
        <f>G42*H42</f>
        <v>1.0127999999999999</v>
      </c>
      <c r="J42" s="72" t="s">
        <v>4</v>
      </c>
    </row>
  </sheetData>
  <mergeCells count="29">
    <mergeCell ref="A25:I25"/>
    <mergeCell ref="A26:I26"/>
    <mergeCell ref="A27:I27"/>
    <mergeCell ref="A28:I28"/>
    <mergeCell ref="D29:E29"/>
    <mergeCell ref="X32:X33"/>
    <mergeCell ref="D33:E33"/>
    <mergeCell ref="S34:U34"/>
    <mergeCell ref="M32:M33"/>
    <mergeCell ref="N32:N33"/>
    <mergeCell ref="O32:O33"/>
    <mergeCell ref="P32:P33"/>
    <mergeCell ref="Q32:Q33"/>
    <mergeCell ref="R32:R33"/>
    <mergeCell ref="D32:E32"/>
    <mergeCell ref="D38:E38"/>
    <mergeCell ref="S38:U38"/>
    <mergeCell ref="S32:U32"/>
    <mergeCell ref="V32:V33"/>
    <mergeCell ref="W32:W33"/>
    <mergeCell ref="D35:E35"/>
    <mergeCell ref="S35:U35"/>
    <mergeCell ref="S37:U37"/>
    <mergeCell ref="D36:E36"/>
    <mergeCell ref="D39:E39"/>
    <mergeCell ref="S39:U39"/>
    <mergeCell ref="S40:U40"/>
    <mergeCell ref="D41:E41"/>
    <mergeCell ref="D42:E42"/>
  </mergeCells>
  <conditionalFormatting sqref="D30:J30 F40:H40 D39:H39 I39:J42 D34:E35 A30:B42 D36 F32:J36 D37:J38 D41:H42">
    <cfRule type="expression" dxfId="10" priority="11">
      <formula>$A30=""</formula>
    </cfRule>
  </conditionalFormatting>
  <conditionalFormatting sqref="C30:C31 C37:C42">
    <cfRule type="expression" dxfId="9" priority="10">
      <formula>$A30=""</formula>
    </cfRule>
  </conditionalFormatting>
  <conditionalFormatting sqref="D31:J31">
    <cfRule type="expression" dxfId="8" priority="12">
      <formula>#REF!=""</formula>
    </cfRule>
  </conditionalFormatting>
  <conditionalFormatting sqref="C32:C33">
    <cfRule type="expression" dxfId="7" priority="9">
      <formula>$A32=""</formula>
    </cfRule>
  </conditionalFormatting>
  <conditionalFormatting sqref="C35:C36">
    <cfRule type="expression" dxfId="6" priority="8">
      <formula>$A35=""</formula>
    </cfRule>
  </conditionalFormatting>
  <conditionalFormatting sqref="D40">
    <cfRule type="expression" dxfId="5" priority="6">
      <formula>$A40=""</formula>
    </cfRule>
  </conditionalFormatting>
  <conditionalFormatting sqref="E40">
    <cfRule type="expression" dxfId="4" priority="5">
      <formula>#REF!=""</formula>
    </cfRule>
  </conditionalFormatting>
  <conditionalFormatting sqref="D32:E32">
    <cfRule type="expression" dxfId="3" priority="4">
      <formula>$A32=""</formula>
    </cfRule>
  </conditionalFormatting>
  <conditionalFormatting sqref="D33:E33">
    <cfRule type="expression" dxfId="2" priority="3">
      <formula>$A33=""</formula>
    </cfRule>
  </conditionalFormatting>
  <conditionalFormatting sqref="C34">
    <cfRule type="expression" dxfId="1" priority="2">
      <formula>$A34=""</formula>
    </cfRule>
  </conditionalFormatting>
  <conditionalFormatting sqref="D35:E35 D36">
    <cfRule type="expression" dxfId="0" priority="220">
      <formula>#REF!=""</formula>
    </cfRule>
  </conditionalFormatting>
  <dataValidations disablePrompts="1" count="2">
    <dataValidation type="list" allowBlank="1" showInputMessage="1" showErrorMessage="1" sqref="P34:P40" xr:uid="{00000000-0002-0000-0800-000000000000}">
      <formula1>$AF$2:$AF$22</formula1>
    </dataValidation>
    <dataValidation type="list" allowBlank="1" showInputMessage="1" showErrorMessage="1" sqref="J30:J42" xr:uid="{00000000-0002-0000-0800-000001000000}">
      <formula1>$R$2:$R$22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D34"/>
  <sheetViews>
    <sheetView view="pageBreakPreview" zoomScale="60" zoomScaleNormal="70" workbookViewId="0">
      <selection activeCell="M6" sqref="M6"/>
    </sheetView>
  </sheetViews>
  <sheetFormatPr defaultColWidth="9.109375" defaultRowHeight="15.6"/>
  <cols>
    <col min="1" max="1" width="6" style="123" customWidth="1"/>
    <col min="2" max="2" width="8.44140625" style="123" hidden="1" customWidth="1"/>
    <col min="3" max="3" width="7.44140625" style="123" bestFit="1" customWidth="1"/>
    <col min="4" max="4" width="11.33203125" style="123" bestFit="1" customWidth="1"/>
    <col min="5" max="26" width="10.6640625" style="123" customWidth="1"/>
    <col min="27" max="27" width="10.6640625" style="267" customWidth="1"/>
    <col min="28" max="30" width="10.6640625" style="123" customWidth="1"/>
    <col min="31" max="16384" width="9.109375" style="123"/>
  </cols>
  <sheetData>
    <row r="1" spans="1:30" ht="80.25" customHeight="1">
      <c r="A1" s="374" t="s">
        <v>605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4"/>
      <c r="W1" s="374"/>
      <c r="X1" s="374"/>
      <c r="Y1" s="374"/>
      <c r="Z1" s="374"/>
      <c r="AA1" s="374"/>
      <c r="AB1" s="374"/>
      <c r="AC1" s="374"/>
      <c r="AD1" s="374"/>
    </row>
    <row r="2" spans="1:30" ht="30" customHeight="1">
      <c r="A2" s="147"/>
      <c r="B2" s="147"/>
      <c r="C2" s="147"/>
      <c r="D2" s="147"/>
      <c r="E2" s="376" t="s">
        <v>304</v>
      </c>
      <c r="F2" s="376"/>
      <c r="G2" s="376"/>
      <c r="H2" s="376"/>
      <c r="I2" s="376"/>
      <c r="J2" s="376"/>
      <c r="K2" s="376"/>
      <c r="L2" s="376"/>
      <c r="M2" s="377" t="s">
        <v>305</v>
      </c>
      <c r="N2" s="377"/>
      <c r="O2" s="377"/>
      <c r="P2" s="377"/>
      <c r="Q2" s="377"/>
      <c r="R2" s="377"/>
      <c r="S2" s="377"/>
      <c r="T2" s="377"/>
      <c r="U2" s="378" t="s">
        <v>292</v>
      </c>
      <c r="V2" s="378"/>
      <c r="W2" s="378"/>
      <c r="X2" s="378"/>
      <c r="Y2" s="378"/>
      <c r="Z2" s="378"/>
      <c r="AA2" s="378"/>
      <c r="AB2" s="378"/>
      <c r="AC2" s="378"/>
      <c r="AD2" s="378"/>
    </row>
    <row r="3" spans="1:30" s="266" customFormat="1" ht="85.5" customHeight="1">
      <c r="A3" s="251" t="s">
        <v>183</v>
      </c>
      <c r="B3" s="251"/>
      <c r="C3" s="251" t="s">
        <v>302</v>
      </c>
      <c r="D3" s="251" t="s">
        <v>303</v>
      </c>
      <c r="E3" s="251" t="s">
        <v>375</v>
      </c>
      <c r="F3" s="251" t="s">
        <v>461</v>
      </c>
      <c r="G3" s="251" t="s">
        <v>307</v>
      </c>
      <c r="H3" s="251" t="s">
        <v>376</v>
      </c>
      <c r="I3" s="251" t="s">
        <v>306</v>
      </c>
      <c r="J3" s="251" t="s">
        <v>592</v>
      </c>
      <c r="K3" s="251" t="s">
        <v>377</v>
      </c>
      <c r="L3" s="251" t="s">
        <v>378</v>
      </c>
      <c r="M3" s="251" t="s">
        <v>375</v>
      </c>
      <c r="N3" s="251" t="s">
        <v>461</v>
      </c>
      <c r="O3" s="251" t="s">
        <v>307</v>
      </c>
      <c r="P3" s="251" t="s">
        <v>376</v>
      </c>
      <c r="Q3" s="251" t="s">
        <v>306</v>
      </c>
      <c r="R3" s="251" t="s">
        <v>592</v>
      </c>
      <c r="S3" s="251" t="s">
        <v>377</v>
      </c>
      <c r="T3" s="251" t="s">
        <v>378</v>
      </c>
      <c r="U3" s="251" t="s">
        <v>424</v>
      </c>
      <c r="V3" s="251" t="s">
        <v>462</v>
      </c>
      <c r="W3" s="251" t="s">
        <v>425</v>
      </c>
      <c r="X3" s="251" t="s">
        <v>426</v>
      </c>
      <c r="Y3" s="251" t="s">
        <v>427</v>
      </c>
      <c r="Z3" s="251" t="s">
        <v>593</v>
      </c>
      <c r="AA3" s="318" t="s">
        <v>431</v>
      </c>
      <c r="AB3" s="251" t="s">
        <v>428</v>
      </c>
      <c r="AC3" s="251" t="s">
        <v>429</v>
      </c>
      <c r="AD3" s="251" t="s">
        <v>430</v>
      </c>
    </row>
    <row r="4" spans="1:30" ht="18.75" customHeight="1">
      <c r="A4" s="233">
        <v>1</v>
      </c>
      <c r="B4" s="375" t="s">
        <v>379</v>
      </c>
      <c r="C4" s="233" t="s">
        <v>380</v>
      </c>
      <c r="D4" s="233">
        <v>0</v>
      </c>
      <c r="E4" s="233">
        <v>17.72</v>
      </c>
      <c r="F4" s="233">
        <v>6.07</v>
      </c>
      <c r="G4" s="233">
        <v>3.92</v>
      </c>
      <c r="H4" s="233">
        <v>0.27</v>
      </c>
      <c r="I4" s="233">
        <v>0.71</v>
      </c>
      <c r="J4" s="233">
        <v>0.22</v>
      </c>
      <c r="K4" s="233">
        <v>12.57</v>
      </c>
      <c r="L4" s="233">
        <v>5.09</v>
      </c>
      <c r="M4" s="319"/>
      <c r="N4" s="319"/>
      <c r="O4" s="319"/>
      <c r="P4" s="319"/>
      <c r="Q4" s="319"/>
      <c r="R4" s="319"/>
      <c r="S4" s="319"/>
      <c r="T4" s="319"/>
      <c r="U4" s="319"/>
      <c r="V4" s="319"/>
      <c r="W4" s="319"/>
      <c r="X4" s="319"/>
      <c r="Y4" s="319"/>
      <c r="Z4" s="319"/>
      <c r="AA4" s="317"/>
      <c r="AB4" s="319"/>
      <c r="AC4" s="319"/>
      <c r="AD4" s="319"/>
    </row>
    <row r="5" spans="1:30" ht="18.75" customHeight="1">
      <c r="A5" s="319"/>
      <c r="B5" s="375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233">
        <f t="shared" ref="M5:M15" si="0">IF(E4="","",AVERAGE(E4,E6))</f>
        <v>14.04</v>
      </c>
      <c r="N5" s="233">
        <f t="shared" ref="N5:N15" si="1">IF(F4="","",AVERAGE(F4,F6))</f>
        <v>4.5999999999999996</v>
      </c>
      <c r="O5" s="233">
        <f t="shared" ref="O5:O15" si="2">IF(G4="","",AVERAGE(G4,G6))</f>
        <v>5.665</v>
      </c>
      <c r="P5" s="233">
        <f t="shared" ref="P5:P15" si="3">IF(H4="","",AVERAGE(H4,H6))</f>
        <v>0.27</v>
      </c>
      <c r="Q5" s="233">
        <f t="shared" ref="Q5:Q15" si="4">IF(I4="","",AVERAGE(I4,I6))</f>
        <v>0.71</v>
      </c>
      <c r="R5" s="233">
        <f t="shared" ref="R5:R15" si="5">IF(J4="","",AVERAGE(J4,J6))</f>
        <v>0.22</v>
      </c>
      <c r="S5" s="233">
        <f t="shared" ref="S5:S15" si="6">IF(K4="","",AVERAGE(K4,K6))</f>
        <v>12.57</v>
      </c>
      <c r="T5" s="233">
        <f t="shared" ref="T5:T15" si="7">IF(L4="","",AVERAGE(L4,L6))</f>
        <v>5.0749999999999993</v>
      </c>
      <c r="U5" s="233">
        <f t="shared" ref="U5:U15" si="8">IF(M5="","",M5*($D6-$D4))</f>
        <v>435.23999999999995</v>
      </c>
      <c r="V5" s="233">
        <f t="shared" ref="V5:V15" si="9">IF(N5="","",N5*($D6-$D4))</f>
        <v>142.6</v>
      </c>
      <c r="W5" s="233">
        <f t="shared" ref="W5:W15" si="10">IF(O5="","",O5*($D6-$D4))</f>
        <v>175.61500000000001</v>
      </c>
      <c r="X5" s="233">
        <f t="shared" ref="X5:X15" si="11">IF(P5="","",P5*($D6-$D4))</f>
        <v>8.370000000000001</v>
      </c>
      <c r="Y5" s="233">
        <f t="shared" ref="Y5:Y15" si="12">IF(Q5="","",Q5*($D6-$D4))</f>
        <v>22.009999999999998</v>
      </c>
      <c r="Z5" s="233">
        <f t="shared" ref="Z5:Z15" si="13">IF(R5="","",R5*($D6-$D4))</f>
        <v>6.82</v>
      </c>
      <c r="AA5" s="320">
        <f t="shared" ref="AA5:AA16" si="14">IF(S5="","",(40/3-1)*S5)</f>
        <v>155.03</v>
      </c>
      <c r="AB5" s="233">
        <f t="shared" ref="AB5:AB15" si="15">IF(S5="","",S5*($D6-$D4))</f>
        <v>389.67</v>
      </c>
      <c r="AC5" s="320">
        <f t="shared" ref="AC5:AC16" si="16">IF(T5="","",(40/3-1)*T5)</f>
        <v>62.591666666666661</v>
      </c>
      <c r="AD5" s="233">
        <f t="shared" ref="AD5:AD15" si="17">IF(T5="","",T5*($D6-$D4))</f>
        <v>157.32499999999999</v>
      </c>
    </row>
    <row r="6" spans="1:30" ht="18.75" customHeight="1">
      <c r="A6" s="233">
        <v>2</v>
      </c>
      <c r="B6" s="375"/>
      <c r="C6" s="233" t="s">
        <v>578</v>
      </c>
      <c r="D6" s="233">
        <v>31</v>
      </c>
      <c r="E6" s="233">
        <v>10.36</v>
      </c>
      <c r="F6" s="233">
        <v>3.13</v>
      </c>
      <c r="G6" s="233">
        <v>7.41</v>
      </c>
      <c r="H6" s="233">
        <v>0.27</v>
      </c>
      <c r="I6" s="233">
        <v>0.71</v>
      </c>
      <c r="J6" s="233">
        <v>0.22</v>
      </c>
      <c r="K6" s="233">
        <v>12.57</v>
      </c>
      <c r="L6" s="233">
        <v>5.0599999999999996</v>
      </c>
      <c r="M6" s="233" t="str">
        <f t="shared" si="0"/>
        <v/>
      </c>
      <c r="N6" s="233" t="str">
        <f t="shared" si="1"/>
        <v/>
      </c>
      <c r="O6" s="233" t="str">
        <f t="shared" si="2"/>
        <v/>
      </c>
      <c r="P6" s="233" t="str">
        <f t="shared" si="3"/>
        <v/>
      </c>
      <c r="Q6" s="233" t="str">
        <f t="shared" si="4"/>
        <v/>
      </c>
      <c r="R6" s="233" t="str">
        <f t="shared" si="5"/>
        <v/>
      </c>
      <c r="S6" s="233" t="str">
        <f t="shared" si="6"/>
        <v/>
      </c>
      <c r="T6" s="233" t="str">
        <f t="shared" si="7"/>
        <v/>
      </c>
      <c r="U6" s="233" t="str">
        <f t="shared" si="8"/>
        <v/>
      </c>
      <c r="V6" s="233" t="str">
        <f t="shared" si="9"/>
        <v/>
      </c>
      <c r="W6" s="233" t="str">
        <f t="shared" si="10"/>
        <v/>
      </c>
      <c r="X6" s="233" t="str">
        <f t="shared" si="11"/>
        <v/>
      </c>
      <c r="Y6" s="233" t="str">
        <f t="shared" si="12"/>
        <v/>
      </c>
      <c r="Z6" s="233" t="str">
        <f t="shared" si="13"/>
        <v/>
      </c>
      <c r="AA6" s="320" t="str">
        <f t="shared" si="14"/>
        <v/>
      </c>
      <c r="AB6" s="233" t="str">
        <f t="shared" si="15"/>
        <v/>
      </c>
      <c r="AC6" s="320" t="str">
        <f t="shared" si="16"/>
        <v/>
      </c>
      <c r="AD6" s="233" t="str">
        <f t="shared" si="17"/>
        <v/>
      </c>
    </row>
    <row r="7" spans="1:30" ht="18.75" customHeight="1">
      <c r="A7" s="319"/>
      <c r="B7" s="375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233">
        <f t="shared" si="0"/>
        <v>9.6999999999999993</v>
      </c>
      <c r="N7" s="233">
        <f t="shared" si="1"/>
        <v>3.395</v>
      </c>
      <c r="O7" s="233">
        <f t="shared" si="2"/>
        <v>7.41</v>
      </c>
      <c r="P7" s="233">
        <f t="shared" si="3"/>
        <v>0.27</v>
      </c>
      <c r="Q7" s="233">
        <f t="shared" si="4"/>
        <v>0.71</v>
      </c>
      <c r="R7" s="233">
        <f t="shared" si="5"/>
        <v>0.19500000000000001</v>
      </c>
      <c r="S7" s="233">
        <f t="shared" si="6"/>
        <v>12.57</v>
      </c>
      <c r="T7" s="233">
        <f t="shared" si="7"/>
        <v>5.0399999999999991</v>
      </c>
      <c r="U7" s="233">
        <f t="shared" si="8"/>
        <v>465.59999999999997</v>
      </c>
      <c r="V7" s="233">
        <f t="shared" si="9"/>
        <v>162.96</v>
      </c>
      <c r="W7" s="233">
        <f t="shared" si="10"/>
        <v>355.68</v>
      </c>
      <c r="X7" s="233">
        <f t="shared" si="11"/>
        <v>12.96</v>
      </c>
      <c r="Y7" s="233">
        <f t="shared" si="12"/>
        <v>34.08</v>
      </c>
      <c r="Z7" s="233">
        <f t="shared" si="13"/>
        <v>9.36</v>
      </c>
      <c r="AA7" s="320">
        <f t="shared" si="14"/>
        <v>155.03</v>
      </c>
      <c r="AB7" s="233">
        <f t="shared" si="15"/>
        <v>603.36</v>
      </c>
      <c r="AC7" s="320">
        <f t="shared" si="16"/>
        <v>62.159999999999989</v>
      </c>
      <c r="AD7" s="233">
        <f t="shared" si="17"/>
        <v>241.91999999999996</v>
      </c>
    </row>
    <row r="8" spans="1:30" ht="18.75" customHeight="1">
      <c r="A8" s="233">
        <v>3</v>
      </c>
      <c r="B8" s="375"/>
      <c r="C8" s="233" t="s">
        <v>579</v>
      </c>
      <c r="D8" s="233">
        <v>79</v>
      </c>
      <c r="E8" s="233">
        <v>9.0399999999999991</v>
      </c>
      <c r="F8" s="233">
        <v>3.66</v>
      </c>
      <c r="G8" s="233">
        <v>7.41</v>
      </c>
      <c r="H8" s="233">
        <v>0.27</v>
      </c>
      <c r="I8" s="233">
        <v>0.71</v>
      </c>
      <c r="J8" s="233">
        <v>0.17</v>
      </c>
      <c r="K8" s="233">
        <v>12.57</v>
      </c>
      <c r="L8" s="233">
        <v>5.0199999999999996</v>
      </c>
      <c r="M8" s="233" t="str">
        <f t="shared" si="0"/>
        <v/>
      </c>
      <c r="N8" s="233" t="str">
        <f t="shared" si="1"/>
        <v/>
      </c>
      <c r="O8" s="233" t="str">
        <f t="shared" si="2"/>
        <v/>
      </c>
      <c r="P8" s="233" t="str">
        <f t="shared" si="3"/>
        <v/>
      </c>
      <c r="Q8" s="233" t="str">
        <f t="shared" si="4"/>
        <v/>
      </c>
      <c r="R8" s="233" t="str">
        <f t="shared" si="5"/>
        <v/>
      </c>
      <c r="S8" s="233" t="str">
        <f t="shared" si="6"/>
        <v/>
      </c>
      <c r="T8" s="233" t="str">
        <f t="shared" si="7"/>
        <v/>
      </c>
      <c r="U8" s="233" t="str">
        <f t="shared" si="8"/>
        <v/>
      </c>
      <c r="V8" s="233" t="str">
        <f t="shared" si="9"/>
        <v/>
      </c>
      <c r="W8" s="233" t="str">
        <f t="shared" si="10"/>
        <v/>
      </c>
      <c r="X8" s="233" t="str">
        <f t="shared" si="11"/>
        <v/>
      </c>
      <c r="Y8" s="233" t="str">
        <f t="shared" si="12"/>
        <v/>
      </c>
      <c r="Z8" s="233" t="str">
        <f t="shared" si="13"/>
        <v/>
      </c>
      <c r="AA8" s="320" t="str">
        <f t="shared" si="14"/>
        <v/>
      </c>
      <c r="AB8" s="233" t="str">
        <f t="shared" si="15"/>
        <v/>
      </c>
      <c r="AC8" s="320" t="str">
        <f t="shared" si="16"/>
        <v/>
      </c>
      <c r="AD8" s="233" t="str">
        <f t="shared" si="17"/>
        <v/>
      </c>
    </row>
    <row r="9" spans="1:30" ht="18.75" customHeight="1">
      <c r="A9" s="319"/>
      <c r="B9" s="375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233">
        <f t="shared" si="0"/>
        <v>12.04</v>
      </c>
      <c r="N9" s="233">
        <f t="shared" si="1"/>
        <v>3.395</v>
      </c>
      <c r="O9" s="233">
        <f t="shared" si="2"/>
        <v>7.41</v>
      </c>
      <c r="P9" s="233">
        <f t="shared" si="3"/>
        <v>0.27</v>
      </c>
      <c r="Q9" s="233">
        <f t="shared" si="4"/>
        <v>0.71</v>
      </c>
      <c r="R9" s="233">
        <f t="shared" si="5"/>
        <v>0.2</v>
      </c>
      <c r="S9" s="233">
        <f t="shared" si="6"/>
        <v>12.57</v>
      </c>
      <c r="T9" s="233">
        <f t="shared" si="7"/>
        <v>5.0599999999999996</v>
      </c>
      <c r="U9" s="233">
        <f t="shared" si="8"/>
        <v>385.28</v>
      </c>
      <c r="V9" s="233">
        <f t="shared" si="9"/>
        <v>108.64</v>
      </c>
      <c r="W9" s="233">
        <f t="shared" si="10"/>
        <v>237.12</v>
      </c>
      <c r="X9" s="233">
        <f t="shared" si="11"/>
        <v>8.64</v>
      </c>
      <c r="Y9" s="233">
        <f t="shared" si="12"/>
        <v>22.72</v>
      </c>
      <c r="Z9" s="233">
        <f t="shared" si="13"/>
        <v>6.4</v>
      </c>
      <c r="AA9" s="320">
        <f t="shared" si="14"/>
        <v>155.03</v>
      </c>
      <c r="AB9" s="233">
        <f t="shared" si="15"/>
        <v>402.24</v>
      </c>
      <c r="AC9" s="320">
        <f t="shared" si="16"/>
        <v>62.406666666666666</v>
      </c>
      <c r="AD9" s="233">
        <f t="shared" si="17"/>
        <v>161.91999999999999</v>
      </c>
    </row>
    <row r="10" spans="1:30" ht="18.75" customHeight="1">
      <c r="A10" s="233">
        <v>4</v>
      </c>
      <c r="B10" s="375"/>
      <c r="C10" s="233" t="s">
        <v>580</v>
      </c>
      <c r="D10" s="233">
        <v>111</v>
      </c>
      <c r="E10" s="233">
        <v>15.04</v>
      </c>
      <c r="F10" s="233">
        <v>3.13</v>
      </c>
      <c r="G10" s="233">
        <v>7.41</v>
      </c>
      <c r="H10" s="233">
        <v>0.27</v>
      </c>
      <c r="I10" s="233">
        <v>0.71</v>
      </c>
      <c r="J10" s="233">
        <v>0.23</v>
      </c>
      <c r="K10" s="233">
        <v>12.57</v>
      </c>
      <c r="L10" s="233">
        <v>5.0999999999999996</v>
      </c>
      <c r="M10" s="233" t="str">
        <f t="shared" si="0"/>
        <v/>
      </c>
      <c r="N10" s="233" t="str">
        <f t="shared" si="1"/>
        <v/>
      </c>
      <c r="O10" s="233" t="str">
        <f t="shared" si="2"/>
        <v/>
      </c>
      <c r="P10" s="233" t="str">
        <f t="shared" si="3"/>
        <v/>
      </c>
      <c r="Q10" s="233" t="str">
        <f t="shared" si="4"/>
        <v/>
      </c>
      <c r="R10" s="233" t="str">
        <f t="shared" si="5"/>
        <v/>
      </c>
      <c r="S10" s="233" t="str">
        <f t="shared" si="6"/>
        <v/>
      </c>
      <c r="T10" s="233" t="str">
        <f t="shared" si="7"/>
        <v/>
      </c>
      <c r="U10" s="233" t="str">
        <f t="shared" si="8"/>
        <v/>
      </c>
      <c r="V10" s="233" t="str">
        <f t="shared" si="9"/>
        <v/>
      </c>
      <c r="W10" s="233" t="str">
        <f t="shared" si="10"/>
        <v/>
      </c>
      <c r="X10" s="233" t="str">
        <f t="shared" si="11"/>
        <v/>
      </c>
      <c r="Y10" s="233" t="str">
        <f t="shared" si="12"/>
        <v/>
      </c>
      <c r="Z10" s="233" t="str">
        <f t="shared" si="13"/>
        <v/>
      </c>
      <c r="AA10" s="320" t="str">
        <f t="shared" si="14"/>
        <v/>
      </c>
      <c r="AB10" s="233" t="str">
        <f t="shared" si="15"/>
        <v/>
      </c>
      <c r="AC10" s="320" t="str">
        <f t="shared" si="16"/>
        <v/>
      </c>
      <c r="AD10" s="233" t="str">
        <f t="shared" si="17"/>
        <v/>
      </c>
    </row>
    <row r="11" spans="1:30" ht="18.75" customHeight="1">
      <c r="A11" s="319"/>
      <c r="B11" s="375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233">
        <f t="shared" si="0"/>
        <v>10.469999999999999</v>
      </c>
      <c r="N11" s="233">
        <f t="shared" si="1"/>
        <v>3.13</v>
      </c>
      <c r="O11" s="233">
        <f t="shared" si="2"/>
        <v>7.41</v>
      </c>
      <c r="P11" s="233">
        <f t="shared" si="3"/>
        <v>0.27</v>
      </c>
      <c r="Q11" s="233">
        <f t="shared" si="4"/>
        <v>0.71</v>
      </c>
      <c r="R11" s="233">
        <f t="shared" si="5"/>
        <v>0.16500000000000001</v>
      </c>
      <c r="S11" s="233">
        <f t="shared" si="6"/>
        <v>12.57</v>
      </c>
      <c r="T11" s="233">
        <f t="shared" si="7"/>
        <v>5.0549999999999997</v>
      </c>
      <c r="U11" s="233">
        <f t="shared" si="8"/>
        <v>418.79999999999995</v>
      </c>
      <c r="V11" s="233">
        <f t="shared" si="9"/>
        <v>125.19999999999999</v>
      </c>
      <c r="W11" s="233">
        <f t="shared" si="10"/>
        <v>296.39999999999998</v>
      </c>
      <c r="X11" s="233">
        <f t="shared" si="11"/>
        <v>10.8</v>
      </c>
      <c r="Y11" s="233">
        <f t="shared" si="12"/>
        <v>28.4</v>
      </c>
      <c r="Z11" s="233">
        <f t="shared" si="13"/>
        <v>6.6000000000000005</v>
      </c>
      <c r="AA11" s="320">
        <f t="shared" si="14"/>
        <v>155.03</v>
      </c>
      <c r="AB11" s="233">
        <f t="shared" si="15"/>
        <v>502.8</v>
      </c>
      <c r="AC11" s="320">
        <f t="shared" si="16"/>
        <v>62.344999999999999</v>
      </c>
      <c r="AD11" s="233">
        <f t="shared" si="17"/>
        <v>202.2</v>
      </c>
    </row>
    <row r="12" spans="1:30" ht="18.75" customHeight="1">
      <c r="A12" s="233">
        <v>5</v>
      </c>
      <c r="B12" s="375"/>
      <c r="C12" s="233" t="s">
        <v>581</v>
      </c>
      <c r="D12" s="233">
        <v>151</v>
      </c>
      <c r="E12" s="233">
        <v>5.9</v>
      </c>
      <c r="F12" s="233">
        <v>3.13</v>
      </c>
      <c r="G12" s="233">
        <v>7.41</v>
      </c>
      <c r="H12" s="233">
        <v>0.27</v>
      </c>
      <c r="I12" s="233">
        <v>0.71</v>
      </c>
      <c r="J12" s="233">
        <v>0.1</v>
      </c>
      <c r="K12" s="233">
        <v>12.57</v>
      </c>
      <c r="L12" s="233">
        <v>5.01</v>
      </c>
      <c r="M12" s="233" t="str">
        <f t="shared" si="0"/>
        <v/>
      </c>
      <c r="N12" s="233" t="str">
        <f t="shared" si="1"/>
        <v/>
      </c>
      <c r="O12" s="233" t="str">
        <f t="shared" si="2"/>
        <v/>
      </c>
      <c r="P12" s="233" t="str">
        <f t="shared" si="3"/>
        <v/>
      </c>
      <c r="Q12" s="233" t="str">
        <f t="shared" si="4"/>
        <v/>
      </c>
      <c r="R12" s="233" t="str">
        <f t="shared" si="5"/>
        <v/>
      </c>
      <c r="S12" s="233" t="str">
        <f t="shared" si="6"/>
        <v/>
      </c>
      <c r="T12" s="233" t="str">
        <f t="shared" si="7"/>
        <v/>
      </c>
      <c r="U12" s="233" t="str">
        <f t="shared" si="8"/>
        <v/>
      </c>
      <c r="V12" s="233" t="str">
        <f t="shared" si="9"/>
        <v/>
      </c>
      <c r="W12" s="233" t="str">
        <f t="shared" si="10"/>
        <v/>
      </c>
      <c r="X12" s="233" t="str">
        <f t="shared" si="11"/>
        <v/>
      </c>
      <c r="Y12" s="233" t="str">
        <f t="shared" si="12"/>
        <v/>
      </c>
      <c r="Z12" s="233" t="str">
        <f t="shared" si="13"/>
        <v/>
      </c>
      <c r="AA12" s="320" t="str">
        <f t="shared" si="14"/>
        <v/>
      </c>
      <c r="AB12" s="233" t="str">
        <f t="shared" si="15"/>
        <v/>
      </c>
      <c r="AC12" s="320" t="str">
        <f t="shared" si="16"/>
        <v/>
      </c>
      <c r="AD12" s="233" t="str">
        <f t="shared" si="17"/>
        <v/>
      </c>
    </row>
    <row r="13" spans="1:30" ht="18.75" customHeight="1">
      <c r="A13" s="319"/>
      <c r="B13" s="375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233">
        <f t="shared" si="0"/>
        <v>7.41</v>
      </c>
      <c r="N13" s="233">
        <f t="shared" si="1"/>
        <v>3.56</v>
      </c>
      <c r="O13" s="233">
        <f t="shared" si="2"/>
        <v>7.41</v>
      </c>
      <c r="P13" s="233">
        <f t="shared" si="3"/>
        <v>0.27</v>
      </c>
      <c r="Q13" s="233">
        <f t="shared" si="4"/>
        <v>0.71</v>
      </c>
      <c r="R13" s="233">
        <f t="shared" si="5"/>
        <v>0.16</v>
      </c>
      <c r="S13" s="233">
        <f t="shared" si="6"/>
        <v>12.57</v>
      </c>
      <c r="T13" s="233">
        <f t="shared" si="7"/>
        <v>5.05</v>
      </c>
      <c r="U13" s="233">
        <f t="shared" si="8"/>
        <v>296.39999999999998</v>
      </c>
      <c r="V13" s="233">
        <f t="shared" si="9"/>
        <v>142.4</v>
      </c>
      <c r="W13" s="233">
        <f t="shared" si="10"/>
        <v>296.39999999999998</v>
      </c>
      <c r="X13" s="233">
        <f t="shared" si="11"/>
        <v>10.8</v>
      </c>
      <c r="Y13" s="233">
        <f t="shared" si="12"/>
        <v>28.4</v>
      </c>
      <c r="Z13" s="233">
        <f t="shared" si="13"/>
        <v>6.4</v>
      </c>
      <c r="AA13" s="320">
        <f t="shared" si="14"/>
        <v>155.03</v>
      </c>
      <c r="AB13" s="233">
        <f t="shared" si="15"/>
        <v>502.8</v>
      </c>
      <c r="AC13" s="320">
        <f t="shared" si="16"/>
        <v>62.283333333333331</v>
      </c>
      <c r="AD13" s="233">
        <f t="shared" si="17"/>
        <v>202</v>
      </c>
    </row>
    <row r="14" spans="1:30" ht="18.75" customHeight="1">
      <c r="A14" s="233">
        <v>6</v>
      </c>
      <c r="B14" s="375"/>
      <c r="C14" s="233" t="s">
        <v>582</v>
      </c>
      <c r="D14" s="233">
        <v>191</v>
      </c>
      <c r="E14" s="233">
        <v>8.92</v>
      </c>
      <c r="F14" s="233">
        <v>3.99</v>
      </c>
      <c r="G14" s="233">
        <v>7.41</v>
      </c>
      <c r="H14" s="233">
        <v>0.27</v>
      </c>
      <c r="I14" s="233">
        <v>0.71</v>
      </c>
      <c r="J14" s="233">
        <v>0.22</v>
      </c>
      <c r="K14" s="233">
        <v>12.57</v>
      </c>
      <c r="L14" s="233">
        <v>5.09</v>
      </c>
      <c r="M14" s="233" t="str">
        <f t="shared" si="0"/>
        <v/>
      </c>
      <c r="N14" s="233" t="str">
        <f t="shared" si="1"/>
        <v/>
      </c>
      <c r="O14" s="233" t="str">
        <f t="shared" si="2"/>
        <v/>
      </c>
      <c r="P14" s="233" t="str">
        <f t="shared" si="3"/>
        <v/>
      </c>
      <c r="Q14" s="233" t="str">
        <f t="shared" si="4"/>
        <v/>
      </c>
      <c r="R14" s="233" t="str">
        <f t="shared" si="5"/>
        <v/>
      </c>
      <c r="S14" s="233" t="str">
        <f t="shared" si="6"/>
        <v/>
      </c>
      <c r="T14" s="233" t="str">
        <f t="shared" si="7"/>
        <v/>
      </c>
      <c r="U14" s="233" t="str">
        <f t="shared" si="8"/>
        <v/>
      </c>
      <c r="V14" s="233" t="str">
        <f t="shared" si="9"/>
        <v/>
      </c>
      <c r="W14" s="233" t="str">
        <f t="shared" si="10"/>
        <v/>
      </c>
      <c r="X14" s="233" t="str">
        <f t="shared" si="11"/>
        <v/>
      </c>
      <c r="Y14" s="233" t="str">
        <f t="shared" si="12"/>
        <v/>
      </c>
      <c r="Z14" s="233" t="str">
        <f t="shared" si="13"/>
        <v/>
      </c>
      <c r="AA14" s="320" t="str">
        <f t="shared" si="14"/>
        <v/>
      </c>
      <c r="AB14" s="233" t="str">
        <f t="shared" si="15"/>
        <v/>
      </c>
      <c r="AC14" s="320" t="str">
        <f t="shared" si="16"/>
        <v/>
      </c>
      <c r="AD14" s="233" t="str">
        <f t="shared" si="17"/>
        <v/>
      </c>
    </row>
    <row r="15" spans="1:30" ht="18.75" customHeight="1">
      <c r="A15" s="319"/>
      <c r="B15" s="375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233">
        <f t="shared" si="0"/>
        <v>13.379999999999999</v>
      </c>
      <c r="N15" s="233">
        <f t="shared" si="1"/>
        <v>3.56</v>
      </c>
      <c r="O15" s="233">
        <f t="shared" si="2"/>
        <v>7.41</v>
      </c>
      <c r="P15" s="233">
        <f t="shared" si="3"/>
        <v>0.27</v>
      </c>
      <c r="Q15" s="233">
        <f t="shared" si="4"/>
        <v>0.71</v>
      </c>
      <c r="R15" s="233">
        <f t="shared" si="5"/>
        <v>0.22500000000000001</v>
      </c>
      <c r="S15" s="233">
        <f t="shared" si="6"/>
        <v>12.57</v>
      </c>
      <c r="T15" s="233">
        <f t="shared" si="7"/>
        <v>5.0949999999999998</v>
      </c>
      <c r="U15" s="233">
        <f t="shared" si="8"/>
        <v>187.32</v>
      </c>
      <c r="V15" s="233">
        <f t="shared" si="9"/>
        <v>49.84</v>
      </c>
      <c r="W15" s="233">
        <f t="shared" si="10"/>
        <v>103.74000000000001</v>
      </c>
      <c r="X15" s="233">
        <f t="shared" si="11"/>
        <v>3.7800000000000002</v>
      </c>
      <c r="Y15" s="233">
        <f t="shared" si="12"/>
        <v>9.94</v>
      </c>
      <c r="Z15" s="233">
        <f t="shared" si="13"/>
        <v>3.15</v>
      </c>
      <c r="AA15" s="320">
        <f t="shared" si="14"/>
        <v>155.03</v>
      </c>
      <c r="AB15" s="233">
        <f t="shared" si="15"/>
        <v>175.98000000000002</v>
      </c>
      <c r="AC15" s="320">
        <f t="shared" si="16"/>
        <v>62.838333333333331</v>
      </c>
      <c r="AD15" s="233">
        <f t="shared" si="17"/>
        <v>71.33</v>
      </c>
    </row>
    <row r="16" spans="1:30" ht="18.75" customHeight="1">
      <c r="A16" s="233">
        <v>7</v>
      </c>
      <c r="B16" s="375"/>
      <c r="C16" s="233" t="s">
        <v>583</v>
      </c>
      <c r="D16" s="233">
        <v>205</v>
      </c>
      <c r="E16" s="233">
        <v>17.84</v>
      </c>
      <c r="F16" s="233">
        <v>3.13</v>
      </c>
      <c r="G16" s="233">
        <v>7.41</v>
      </c>
      <c r="H16" s="233">
        <v>0.27</v>
      </c>
      <c r="I16" s="233">
        <v>0.71</v>
      </c>
      <c r="J16" s="233">
        <v>0.23</v>
      </c>
      <c r="K16" s="233">
        <v>12.57</v>
      </c>
      <c r="L16" s="233">
        <v>5.0999999999999996</v>
      </c>
      <c r="M16" s="233" t="str">
        <f t="shared" ref="M16:T16" si="18">IF(E15="","",AVERAGE(E15,E18))</f>
        <v/>
      </c>
      <c r="N16" s="233" t="str">
        <f t="shared" si="18"/>
        <v/>
      </c>
      <c r="O16" s="233" t="str">
        <f t="shared" si="18"/>
        <v/>
      </c>
      <c r="P16" s="233" t="str">
        <f t="shared" si="18"/>
        <v/>
      </c>
      <c r="Q16" s="233" t="str">
        <f t="shared" si="18"/>
        <v/>
      </c>
      <c r="R16" s="233" t="str">
        <f t="shared" si="18"/>
        <v/>
      </c>
      <c r="S16" s="233" t="str">
        <f t="shared" si="18"/>
        <v/>
      </c>
      <c r="T16" s="233" t="str">
        <f t="shared" si="18"/>
        <v/>
      </c>
      <c r="U16" s="233" t="str">
        <f t="shared" ref="U16:Z16" si="19">IF(M16="","",M16*($D18-$D15))</f>
        <v/>
      </c>
      <c r="V16" s="233" t="str">
        <f t="shared" si="19"/>
        <v/>
      </c>
      <c r="W16" s="233" t="str">
        <f t="shared" si="19"/>
        <v/>
      </c>
      <c r="X16" s="233" t="str">
        <f t="shared" si="19"/>
        <v/>
      </c>
      <c r="Y16" s="233" t="str">
        <f t="shared" si="19"/>
        <v/>
      </c>
      <c r="Z16" s="233" t="str">
        <f t="shared" si="19"/>
        <v/>
      </c>
      <c r="AA16" s="320" t="str">
        <f t="shared" si="14"/>
        <v/>
      </c>
      <c r="AB16" s="233" t="str">
        <f>IF(S16="","",S16*($D18-$D15))</f>
        <v/>
      </c>
      <c r="AC16" s="320" t="str">
        <f t="shared" si="16"/>
        <v/>
      </c>
      <c r="AD16" s="233" t="str">
        <f>IF(T16="","",T16*($D18-$D15))</f>
        <v/>
      </c>
    </row>
    <row r="17" spans="1:30" ht="18.75" customHeight="1">
      <c r="A17" s="233"/>
      <c r="B17" s="233"/>
      <c r="C17" s="233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320"/>
      <c r="AB17" s="233"/>
      <c r="AC17" s="320"/>
      <c r="AD17" s="233"/>
    </row>
    <row r="18" spans="1:30" ht="18.75" customHeight="1">
      <c r="A18" s="233"/>
      <c r="B18" s="375" t="s">
        <v>381</v>
      </c>
      <c r="C18" s="233"/>
      <c r="D18" s="233"/>
      <c r="E18" s="233"/>
      <c r="F18" s="233"/>
      <c r="G18" s="233"/>
      <c r="H18" s="233"/>
      <c r="I18" s="233"/>
      <c r="J18" s="233"/>
      <c r="K18" s="233"/>
      <c r="L18" s="319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320"/>
      <c r="AB18" s="233"/>
      <c r="AC18" s="320"/>
      <c r="AD18" s="233"/>
    </row>
    <row r="19" spans="1:30" ht="18.75" customHeight="1">
      <c r="A19" s="233">
        <v>8</v>
      </c>
      <c r="B19" s="375"/>
      <c r="C19" s="233" t="s">
        <v>584</v>
      </c>
      <c r="D19" s="233">
        <v>226</v>
      </c>
      <c r="E19" s="233">
        <v>11.23</v>
      </c>
      <c r="F19" s="233">
        <v>3.46</v>
      </c>
      <c r="G19" s="233">
        <v>7.41</v>
      </c>
      <c r="H19" s="233">
        <v>0.27</v>
      </c>
      <c r="I19" s="233">
        <v>0.71</v>
      </c>
      <c r="J19" s="233">
        <v>0.22</v>
      </c>
      <c r="K19" s="233">
        <v>12.57</v>
      </c>
      <c r="L19" s="233">
        <v>5.0999999999999996</v>
      </c>
      <c r="M19" s="233" t="str">
        <f t="shared" ref="M19:T19" si="20">IF(E18="","",AVERAGE(E18,E20))</f>
        <v/>
      </c>
      <c r="N19" s="233" t="str">
        <f t="shared" si="20"/>
        <v/>
      </c>
      <c r="O19" s="233" t="str">
        <f t="shared" si="20"/>
        <v/>
      </c>
      <c r="P19" s="233" t="str">
        <f t="shared" si="20"/>
        <v/>
      </c>
      <c r="Q19" s="233" t="str">
        <f t="shared" si="20"/>
        <v/>
      </c>
      <c r="R19" s="233" t="str">
        <f t="shared" si="20"/>
        <v/>
      </c>
      <c r="S19" s="233" t="str">
        <f t="shared" si="20"/>
        <v/>
      </c>
      <c r="T19" s="233" t="str">
        <f t="shared" si="20"/>
        <v/>
      </c>
      <c r="U19" s="233" t="str">
        <f t="shared" ref="U19:Z19" si="21">IF(M19="","",M19*($D20-$D18))</f>
        <v/>
      </c>
      <c r="V19" s="233" t="str">
        <f t="shared" si="21"/>
        <v/>
      </c>
      <c r="W19" s="233" t="str">
        <f t="shared" si="21"/>
        <v/>
      </c>
      <c r="X19" s="233" t="str">
        <f t="shared" si="21"/>
        <v/>
      </c>
      <c r="Y19" s="233" t="str">
        <f t="shared" si="21"/>
        <v/>
      </c>
      <c r="Z19" s="233" t="str">
        <f t="shared" si="21"/>
        <v/>
      </c>
      <c r="AA19" s="320" t="str">
        <f t="shared" ref="AA19:AA33" si="22">IF(S19="","",(40/3-1)*S19)</f>
        <v/>
      </c>
      <c r="AB19" s="233" t="str">
        <f>IF(S19="","",S19*($D20-$D18))</f>
        <v/>
      </c>
      <c r="AC19" s="320" t="str">
        <f t="shared" ref="AC19:AC33" si="23">IF(T19="","",(40/3-1)*T19)</f>
        <v/>
      </c>
      <c r="AD19" s="233" t="str">
        <f>IF(T19="","",T19*($D20-$D18))</f>
        <v/>
      </c>
    </row>
    <row r="20" spans="1:30" ht="18.75" customHeight="1">
      <c r="A20" s="319"/>
      <c r="B20" s="375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233">
        <f t="shared" ref="M20:M32" si="24">IF(E19="","",AVERAGE(E19,E21))</f>
        <v>10.385</v>
      </c>
      <c r="N20" s="233">
        <f t="shared" ref="N20:N32" si="25">IF(F19="","",AVERAGE(F19,F21))</f>
        <v>3.3650000000000002</v>
      </c>
      <c r="O20" s="233">
        <f t="shared" ref="O20:O32" si="26">IF(G19="","",AVERAGE(G19,G21))</f>
        <v>7.41</v>
      </c>
      <c r="P20" s="233">
        <f t="shared" ref="P20:P32" si="27">IF(H19="","",AVERAGE(H19,H21))</f>
        <v>0.27</v>
      </c>
      <c r="Q20" s="233">
        <f t="shared" ref="Q20:Q32" si="28">IF(I19="","",AVERAGE(I19,I21))</f>
        <v>0.71</v>
      </c>
      <c r="R20" s="233">
        <f t="shared" ref="R20:R32" si="29">IF(J19="","",AVERAGE(J19,J21))</f>
        <v>0.22500000000000001</v>
      </c>
      <c r="S20" s="233">
        <f t="shared" ref="S20:S32" si="30">IF(K19="","",AVERAGE(K19,K21))</f>
        <v>12.57</v>
      </c>
      <c r="T20" s="233">
        <f t="shared" ref="T20:T32" si="31">IF(L19="","",AVERAGE(L19,L21))</f>
        <v>5.09</v>
      </c>
      <c r="U20" s="233">
        <f t="shared" ref="U20:U32" si="32">IF(M20="","",M20*($D21-$D19))</f>
        <v>415.4</v>
      </c>
      <c r="V20" s="233">
        <f t="shared" ref="V20:V32" si="33">IF(N20="","",N20*($D21-$D19))</f>
        <v>134.60000000000002</v>
      </c>
      <c r="W20" s="233">
        <f t="shared" ref="W20:W32" si="34">IF(O20="","",O20*($D21-$D19))</f>
        <v>296.39999999999998</v>
      </c>
      <c r="X20" s="233">
        <f t="shared" ref="X20:X32" si="35">IF(P20="","",P20*($D21-$D19))</f>
        <v>10.8</v>
      </c>
      <c r="Y20" s="233">
        <f t="shared" ref="Y20:Y32" si="36">IF(Q20="","",Q20*($D21-$D19))</f>
        <v>28.4</v>
      </c>
      <c r="Z20" s="233">
        <f t="shared" ref="Z20:Z32" si="37">IF(R20="","",R20*($D21-$D19))</f>
        <v>9</v>
      </c>
      <c r="AA20" s="320">
        <f t="shared" si="22"/>
        <v>155.03</v>
      </c>
      <c r="AB20" s="233">
        <f t="shared" ref="AB20:AB32" si="38">IF(S20="","",S20*($D21-$D19))</f>
        <v>502.8</v>
      </c>
      <c r="AC20" s="320">
        <f t="shared" si="23"/>
        <v>62.776666666666671</v>
      </c>
      <c r="AD20" s="233">
        <f t="shared" ref="AD20:AD32" si="39">IF(T20="","",T20*($D21-$D19))</f>
        <v>203.6</v>
      </c>
    </row>
    <row r="21" spans="1:30" ht="18.75" customHeight="1">
      <c r="A21" s="233">
        <v>9</v>
      </c>
      <c r="B21" s="375"/>
      <c r="C21" s="233" t="s">
        <v>585</v>
      </c>
      <c r="D21" s="233">
        <v>266</v>
      </c>
      <c r="E21" s="233">
        <v>9.5399999999999991</v>
      </c>
      <c r="F21" s="233">
        <v>3.27</v>
      </c>
      <c r="G21" s="233">
        <v>7.41</v>
      </c>
      <c r="H21" s="233">
        <v>0.27</v>
      </c>
      <c r="I21" s="233">
        <v>0.71</v>
      </c>
      <c r="J21" s="233">
        <v>0.23</v>
      </c>
      <c r="K21" s="233">
        <v>12.57</v>
      </c>
      <c r="L21" s="233">
        <v>5.08</v>
      </c>
      <c r="M21" s="233" t="str">
        <f t="shared" si="24"/>
        <v/>
      </c>
      <c r="N21" s="233" t="str">
        <f t="shared" si="25"/>
        <v/>
      </c>
      <c r="O21" s="233" t="str">
        <f t="shared" si="26"/>
        <v/>
      </c>
      <c r="P21" s="233" t="str">
        <f t="shared" si="27"/>
        <v/>
      </c>
      <c r="Q21" s="233" t="str">
        <f t="shared" si="28"/>
        <v/>
      </c>
      <c r="R21" s="233" t="str">
        <f t="shared" si="29"/>
        <v/>
      </c>
      <c r="S21" s="233" t="str">
        <f t="shared" si="30"/>
        <v/>
      </c>
      <c r="T21" s="233" t="str">
        <f t="shared" si="31"/>
        <v/>
      </c>
      <c r="U21" s="233" t="str">
        <f t="shared" si="32"/>
        <v/>
      </c>
      <c r="V21" s="233" t="str">
        <f t="shared" si="33"/>
        <v/>
      </c>
      <c r="W21" s="233" t="str">
        <f t="shared" si="34"/>
        <v/>
      </c>
      <c r="X21" s="233" t="str">
        <f t="shared" si="35"/>
        <v/>
      </c>
      <c r="Y21" s="233" t="str">
        <f t="shared" si="36"/>
        <v/>
      </c>
      <c r="Z21" s="233" t="str">
        <f t="shared" si="37"/>
        <v/>
      </c>
      <c r="AA21" s="320" t="str">
        <f t="shared" si="22"/>
        <v/>
      </c>
      <c r="AB21" s="233" t="str">
        <f t="shared" si="38"/>
        <v/>
      </c>
      <c r="AC21" s="320" t="str">
        <f t="shared" si="23"/>
        <v/>
      </c>
      <c r="AD21" s="233" t="str">
        <f t="shared" si="39"/>
        <v/>
      </c>
    </row>
    <row r="22" spans="1:30" ht="18.75" customHeight="1">
      <c r="A22" s="319"/>
      <c r="B22" s="375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233">
        <f t="shared" si="24"/>
        <v>11.12</v>
      </c>
      <c r="N22" s="233">
        <f t="shared" si="25"/>
        <v>3.23</v>
      </c>
      <c r="O22" s="233">
        <f t="shared" si="26"/>
        <v>7.41</v>
      </c>
      <c r="P22" s="233">
        <f t="shared" si="27"/>
        <v>0.27</v>
      </c>
      <c r="Q22" s="233">
        <f t="shared" si="28"/>
        <v>0.71</v>
      </c>
      <c r="R22" s="233">
        <f t="shared" si="29"/>
        <v>0.23</v>
      </c>
      <c r="S22" s="233">
        <f t="shared" si="30"/>
        <v>12.57</v>
      </c>
      <c r="T22" s="233">
        <f t="shared" si="31"/>
        <v>5.085</v>
      </c>
      <c r="U22" s="233">
        <f t="shared" si="32"/>
        <v>444.79999999999995</v>
      </c>
      <c r="V22" s="233">
        <f t="shared" si="33"/>
        <v>129.19999999999999</v>
      </c>
      <c r="W22" s="233">
        <f t="shared" si="34"/>
        <v>296.39999999999998</v>
      </c>
      <c r="X22" s="233">
        <f t="shared" si="35"/>
        <v>10.8</v>
      </c>
      <c r="Y22" s="233">
        <f t="shared" si="36"/>
        <v>28.4</v>
      </c>
      <c r="Z22" s="233">
        <f t="shared" si="37"/>
        <v>9.2000000000000011</v>
      </c>
      <c r="AA22" s="320">
        <f t="shared" si="22"/>
        <v>155.03</v>
      </c>
      <c r="AB22" s="233">
        <f t="shared" si="38"/>
        <v>502.8</v>
      </c>
      <c r="AC22" s="320">
        <f t="shared" si="23"/>
        <v>62.715000000000003</v>
      </c>
      <c r="AD22" s="233">
        <f t="shared" si="39"/>
        <v>203.4</v>
      </c>
    </row>
    <row r="23" spans="1:30" ht="18.75" customHeight="1">
      <c r="A23" s="233">
        <v>10</v>
      </c>
      <c r="B23" s="375"/>
      <c r="C23" s="233" t="s">
        <v>586</v>
      </c>
      <c r="D23" s="233">
        <v>306</v>
      </c>
      <c r="E23" s="233">
        <v>12.7</v>
      </c>
      <c r="F23" s="233">
        <v>3.19</v>
      </c>
      <c r="G23" s="233">
        <v>7.41</v>
      </c>
      <c r="H23" s="233">
        <v>0.27</v>
      </c>
      <c r="I23" s="233">
        <v>0.71</v>
      </c>
      <c r="J23" s="233">
        <v>0.23</v>
      </c>
      <c r="K23" s="233">
        <v>12.57</v>
      </c>
      <c r="L23" s="233">
        <v>5.09</v>
      </c>
      <c r="M23" s="233" t="str">
        <f t="shared" si="24"/>
        <v/>
      </c>
      <c r="N23" s="233" t="str">
        <f t="shared" si="25"/>
        <v/>
      </c>
      <c r="O23" s="233" t="str">
        <f t="shared" si="26"/>
        <v/>
      </c>
      <c r="P23" s="233" t="str">
        <f t="shared" si="27"/>
        <v/>
      </c>
      <c r="Q23" s="233" t="str">
        <f t="shared" si="28"/>
        <v/>
      </c>
      <c r="R23" s="233" t="str">
        <f t="shared" si="29"/>
        <v/>
      </c>
      <c r="S23" s="233" t="str">
        <f t="shared" si="30"/>
        <v/>
      </c>
      <c r="T23" s="233" t="str">
        <f t="shared" si="31"/>
        <v/>
      </c>
      <c r="U23" s="233" t="str">
        <f t="shared" si="32"/>
        <v/>
      </c>
      <c r="V23" s="233" t="str">
        <f t="shared" si="33"/>
        <v/>
      </c>
      <c r="W23" s="233" t="str">
        <f t="shared" si="34"/>
        <v/>
      </c>
      <c r="X23" s="233" t="str">
        <f t="shared" si="35"/>
        <v/>
      </c>
      <c r="Y23" s="233" t="str">
        <f t="shared" si="36"/>
        <v/>
      </c>
      <c r="Z23" s="233" t="str">
        <f t="shared" si="37"/>
        <v/>
      </c>
      <c r="AA23" s="320" t="str">
        <f t="shared" si="22"/>
        <v/>
      </c>
      <c r="AB23" s="233" t="str">
        <f t="shared" si="38"/>
        <v/>
      </c>
      <c r="AC23" s="320" t="str">
        <f t="shared" si="23"/>
        <v/>
      </c>
      <c r="AD23" s="233" t="str">
        <f t="shared" si="39"/>
        <v/>
      </c>
    </row>
    <row r="24" spans="1:30" ht="18.75" customHeight="1">
      <c r="A24" s="319"/>
      <c r="B24" s="375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233">
        <f t="shared" si="24"/>
        <v>11.21</v>
      </c>
      <c r="N24" s="233">
        <f t="shared" si="25"/>
        <v>3.5999999999999996</v>
      </c>
      <c r="O24" s="233">
        <f t="shared" si="26"/>
        <v>7.41</v>
      </c>
      <c r="P24" s="233">
        <f t="shared" si="27"/>
        <v>0.27</v>
      </c>
      <c r="Q24" s="233">
        <f t="shared" si="28"/>
        <v>0.71</v>
      </c>
      <c r="R24" s="233">
        <f t="shared" si="29"/>
        <v>0.22500000000000001</v>
      </c>
      <c r="S24" s="233">
        <f t="shared" si="30"/>
        <v>12.57</v>
      </c>
      <c r="T24" s="233">
        <f t="shared" si="31"/>
        <v>5.0949999999999998</v>
      </c>
      <c r="U24" s="233">
        <f t="shared" si="32"/>
        <v>448.40000000000003</v>
      </c>
      <c r="V24" s="233">
        <f t="shared" si="33"/>
        <v>144</v>
      </c>
      <c r="W24" s="233">
        <f t="shared" si="34"/>
        <v>296.39999999999998</v>
      </c>
      <c r="X24" s="233">
        <f t="shared" si="35"/>
        <v>10.8</v>
      </c>
      <c r="Y24" s="233">
        <f t="shared" si="36"/>
        <v>28.4</v>
      </c>
      <c r="Z24" s="233">
        <f t="shared" si="37"/>
        <v>9</v>
      </c>
      <c r="AA24" s="320">
        <f t="shared" si="22"/>
        <v>155.03</v>
      </c>
      <c r="AB24" s="233">
        <f t="shared" si="38"/>
        <v>502.8</v>
      </c>
      <c r="AC24" s="320">
        <f t="shared" si="23"/>
        <v>62.838333333333331</v>
      </c>
      <c r="AD24" s="233">
        <f t="shared" si="39"/>
        <v>203.79999999999998</v>
      </c>
    </row>
    <row r="25" spans="1:30" ht="18.75" customHeight="1">
      <c r="A25" s="233">
        <v>11</v>
      </c>
      <c r="B25" s="375"/>
      <c r="C25" s="233" t="s">
        <v>587</v>
      </c>
      <c r="D25" s="233">
        <v>346</v>
      </c>
      <c r="E25" s="233">
        <v>9.7200000000000006</v>
      </c>
      <c r="F25" s="233">
        <v>4.01</v>
      </c>
      <c r="G25" s="233">
        <v>7.41</v>
      </c>
      <c r="H25" s="233">
        <v>0.27</v>
      </c>
      <c r="I25" s="233">
        <v>0.71</v>
      </c>
      <c r="J25" s="233">
        <v>0.22</v>
      </c>
      <c r="K25" s="233">
        <v>12.57</v>
      </c>
      <c r="L25" s="233">
        <v>5.0999999999999996</v>
      </c>
      <c r="M25" s="233" t="str">
        <f t="shared" si="24"/>
        <v/>
      </c>
      <c r="N25" s="233" t="str">
        <f t="shared" si="25"/>
        <v/>
      </c>
      <c r="O25" s="233" t="str">
        <f t="shared" si="26"/>
        <v/>
      </c>
      <c r="P25" s="233" t="str">
        <f t="shared" si="27"/>
        <v/>
      </c>
      <c r="Q25" s="233" t="str">
        <f t="shared" si="28"/>
        <v/>
      </c>
      <c r="R25" s="233" t="str">
        <f t="shared" si="29"/>
        <v/>
      </c>
      <c r="S25" s="233" t="str">
        <f t="shared" si="30"/>
        <v/>
      </c>
      <c r="T25" s="233" t="str">
        <f t="shared" si="31"/>
        <v/>
      </c>
      <c r="U25" s="233" t="str">
        <f t="shared" si="32"/>
        <v/>
      </c>
      <c r="V25" s="233" t="str">
        <f t="shared" si="33"/>
        <v/>
      </c>
      <c r="W25" s="233" t="str">
        <f t="shared" si="34"/>
        <v/>
      </c>
      <c r="X25" s="233" t="str">
        <f t="shared" si="35"/>
        <v/>
      </c>
      <c r="Y25" s="233" t="str">
        <f t="shared" si="36"/>
        <v/>
      </c>
      <c r="Z25" s="233" t="str">
        <f t="shared" si="37"/>
        <v/>
      </c>
      <c r="AA25" s="320" t="str">
        <f t="shared" si="22"/>
        <v/>
      </c>
      <c r="AB25" s="233" t="str">
        <f t="shared" si="38"/>
        <v/>
      </c>
      <c r="AC25" s="320" t="str">
        <f t="shared" si="23"/>
        <v/>
      </c>
      <c r="AD25" s="233" t="str">
        <f t="shared" si="39"/>
        <v/>
      </c>
    </row>
    <row r="26" spans="1:30" ht="18.75" customHeight="1">
      <c r="A26" s="319"/>
      <c r="B26" s="375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233">
        <f t="shared" si="24"/>
        <v>12.775</v>
      </c>
      <c r="N26" s="233">
        <f t="shared" si="25"/>
        <v>3.57</v>
      </c>
      <c r="O26" s="233">
        <f t="shared" si="26"/>
        <v>7.41</v>
      </c>
      <c r="P26" s="233">
        <f t="shared" si="27"/>
        <v>0.27</v>
      </c>
      <c r="Q26" s="233">
        <f t="shared" si="28"/>
        <v>0.71</v>
      </c>
      <c r="R26" s="233">
        <f t="shared" si="29"/>
        <v>0.22500000000000001</v>
      </c>
      <c r="S26" s="233">
        <f t="shared" si="30"/>
        <v>12.57</v>
      </c>
      <c r="T26" s="233">
        <f t="shared" si="31"/>
        <v>5.0999999999999996</v>
      </c>
      <c r="U26" s="233">
        <f t="shared" si="32"/>
        <v>511</v>
      </c>
      <c r="V26" s="233">
        <f t="shared" si="33"/>
        <v>142.79999999999998</v>
      </c>
      <c r="W26" s="233">
        <f t="shared" si="34"/>
        <v>296.39999999999998</v>
      </c>
      <c r="X26" s="233">
        <f t="shared" si="35"/>
        <v>10.8</v>
      </c>
      <c r="Y26" s="233">
        <f t="shared" si="36"/>
        <v>28.4</v>
      </c>
      <c r="Z26" s="233">
        <f t="shared" si="37"/>
        <v>9</v>
      </c>
      <c r="AA26" s="320">
        <f t="shared" si="22"/>
        <v>155.03</v>
      </c>
      <c r="AB26" s="233">
        <f t="shared" si="38"/>
        <v>502.8</v>
      </c>
      <c r="AC26" s="320">
        <f t="shared" si="23"/>
        <v>62.9</v>
      </c>
      <c r="AD26" s="233">
        <f t="shared" si="39"/>
        <v>204</v>
      </c>
    </row>
    <row r="27" spans="1:30" ht="18.75" customHeight="1">
      <c r="A27" s="233">
        <v>12</v>
      </c>
      <c r="B27" s="375"/>
      <c r="C27" s="233" t="s">
        <v>588</v>
      </c>
      <c r="D27" s="233">
        <v>386</v>
      </c>
      <c r="E27" s="233">
        <v>15.83</v>
      </c>
      <c r="F27" s="233">
        <v>3.13</v>
      </c>
      <c r="G27" s="233">
        <v>7.41</v>
      </c>
      <c r="H27" s="233">
        <v>0.27</v>
      </c>
      <c r="I27" s="233">
        <v>0.71</v>
      </c>
      <c r="J27" s="233">
        <v>0.23</v>
      </c>
      <c r="K27" s="233">
        <v>12.57</v>
      </c>
      <c r="L27" s="233">
        <v>5.0999999999999996</v>
      </c>
      <c r="M27" s="233" t="str">
        <f t="shared" si="24"/>
        <v/>
      </c>
      <c r="N27" s="233" t="str">
        <f t="shared" si="25"/>
        <v/>
      </c>
      <c r="O27" s="233" t="str">
        <f t="shared" si="26"/>
        <v/>
      </c>
      <c r="P27" s="233" t="str">
        <f t="shared" si="27"/>
        <v/>
      </c>
      <c r="Q27" s="233" t="str">
        <f t="shared" si="28"/>
        <v/>
      </c>
      <c r="R27" s="233" t="str">
        <f t="shared" si="29"/>
        <v/>
      </c>
      <c r="S27" s="233" t="str">
        <f t="shared" si="30"/>
        <v/>
      </c>
      <c r="T27" s="233" t="str">
        <f t="shared" si="31"/>
        <v/>
      </c>
      <c r="U27" s="233" t="str">
        <f t="shared" si="32"/>
        <v/>
      </c>
      <c r="V27" s="233" t="str">
        <f t="shared" si="33"/>
        <v/>
      </c>
      <c r="W27" s="233" t="str">
        <f t="shared" si="34"/>
        <v/>
      </c>
      <c r="X27" s="233" t="str">
        <f t="shared" si="35"/>
        <v/>
      </c>
      <c r="Y27" s="233" t="str">
        <f t="shared" si="36"/>
        <v/>
      </c>
      <c r="Z27" s="233" t="str">
        <f t="shared" si="37"/>
        <v/>
      </c>
      <c r="AA27" s="320" t="str">
        <f t="shared" si="22"/>
        <v/>
      </c>
      <c r="AB27" s="233" t="str">
        <f t="shared" si="38"/>
        <v/>
      </c>
      <c r="AC27" s="320" t="str">
        <f t="shared" si="23"/>
        <v/>
      </c>
      <c r="AD27" s="233" t="str">
        <f t="shared" si="39"/>
        <v/>
      </c>
    </row>
    <row r="28" spans="1:30" ht="18.75" customHeight="1">
      <c r="A28" s="319"/>
      <c r="B28" s="375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233">
        <f t="shared" si="24"/>
        <v>12.234999999999999</v>
      </c>
      <c r="N28" s="233">
        <f t="shared" si="25"/>
        <v>3.2649999999999997</v>
      </c>
      <c r="O28" s="233">
        <f t="shared" si="26"/>
        <v>7.41</v>
      </c>
      <c r="P28" s="233">
        <f t="shared" si="27"/>
        <v>0.27</v>
      </c>
      <c r="Q28" s="233">
        <f t="shared" si="28"/>
        <v>0.71</v>
      </c>
      <c r="R28" s="233">
        <f t="shared" si="29"/>
        <v>0.17499999999999999</v>
      </c>
      <c r="S28" s="233">
        <f t="shared" si="30"/>
        <v>12.57</v>
      </c>
      <c r="T28" s="233">
        <f t="shared" si="31"/>
        <v>5.0599999999999996</v>
      </c>
      <c r="U28" s="233">
        <f t="shared" si="32"/>
        <v>489.4</v>
      </c>
      <c r="V28" s="233">
        <f t="shared" si="33"/>
        <v>130.6</v>
      </c>
      <c r="W28" s="233">
        <f t="shared" si="34"/>
        <v>296.39999999999998</v>
      </c>
      <c r="X28" s="233">
        <f t="shared" si="35"/>
        <v>10.8</v>
      </c>
      <c r="Y28" s="233">
        <f t="shared" si="36"/>
        <v>28.4</v>
      </c>
      <c r="Z28" s="233">
        <f t="shared" si="37"/>
        <v>7</v>
      </c>
      <c r="AA28" s="320">
        <f t="shared" si="22"/>
        <v>155.03</v>
      </c>
      <c r="AB28" s="233">
        <f t="shared" si="38"/>
        <v>502.8</v>
      </c>
      <c r="AC28" s="320">
        <f t="shared" si="23"/>
        <v>62.406666666666666</v>
      </c>
      <c r="AD28" s="233">
        <f t="shared" si="39"/>
        <v>202.39999999999998</v>
      </c>
    </row>
    <row r="29" spans="1:30" ht="18.75" customHeight="1">
      <c r="A29" s="233">
        <v>13</v>
      </c>
      <c r="B29" s="375"/>
      <c r="C29" s="233" t="s">
        <v>589</v>
      </c>
      <c r="D29" s="233">
        <v>426</v>
      </c>
      <c r="E29" s="233">
        <v>8.64</v>
      </c>
      <c r="F29" s="233">
        <v>3.4</v>
      </c>
      <c r="G29" s="233">
        <v>7.41</v>
      </c>
      <c r="H29" s="233">
        <v>0.27</v>
      </c>
      <c r="I29" s="233">
        <v>0.71</v>
      </c>
      <c r="J29" s="233">
        <v>0.12</v>
      </c>
      <c r="K29" s="233">
        <v>12.57</v>
      </c>
      <c r="L29" s="233">
        <v>5.0199999999999996</v>
      </c>
      <c r="M29" s="233" t="str">
        <f t="shared" si="24"/>
        <v/>
      </c>
      <c r="N29" s="233" t="str">
        <f t="shared" si="25"/>
        <v/>
      </c>
      <c r="O29" s="233" t="str">
        <f t="shared" si="26"/>
        <v/>
      </c>
      <c r="P29" s="233" t="str">
        <f t="shared" si="27"/>
        <v/>
      </c>
      <c r="Q29" s="233" t="str">
        <f t="shared" si="28"/>
        <v/>
      </c>
      <c r="R29" s="233" t="str">
        <f t="shared" si="29"/>
        <v/>
      </c>
      <c r="S29" s="233" t="str">
        <f t="shared" si="30"/>
        <v/>
      </c>
      <c r="T29" s="233" t="str">
        <f t="shared" si="31"/>
        <v/>
      </c>
      <c r="U29" s="233" t="str">
        <f t="shared" si="32"/>
        <v/>
      </c>
      <c r="V29" s="233" t="str">
        <f t="shared" si="33"/>
        <v/>
      </c>
      <c r="W29" s="233" t="str">
        <f t="shared" si="34"/>
        <v/>
      </c>
      <c r="X29" s="233" t="str">
        <f t="shared" si="35"/>
        <v/>
      </c>
      <c r="Y29" s="233" t="str">
        <f t="shared" si="36"/>
        <v/>
      </c>
      <c r="Z29" s="233" t="str">
        <f t="shared" si="37"/>
        <v/>
      </c>
      <c r="AA29" s="320" t="str">
        <f t="shared" si="22"/>
        <v/>
      </c>
      <c r="AB29" s="233" t="str">
        <f t="shared" si="38"/>
        <v/>
      </c>
      <c r="AC29" s="320" t="str">
        <f t="shared" si="23"/>
        <v/>
      </c>
      <c r="AD29" s="233" t="str">
        <f t="shared" si="39"/>
        <v/>
      </c>
    </row>
    <row r="30" spans="1:30" ht="18.75" customHeight="1">
      <c r="A30" s="319"/>
      <c r="B30" s="375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233">
        <f t="shared" si="24"/>
        <v>7.4050000000000002</v>
      </c>
      <c r="N30" s="233">
        <f t="shared" si="25"/>
        <v>3.2800000000000002</v>
      </c>
      <c r="O30" s="233">
        <f t="shared" si="26"/>
        <v>7.41</v>
      </c>
      <c r="P30" s="233">
        <f t="shared" si="27"/>
        <v>0.27</v>
      </c>
      <c r="Q30" s="233">
        <f t="shared" si="28"/>
        <v>0.71</v>
      </c>
      <c r="R30" s="233">
        <f t="shared" si="29"/>
        <v>0.1</v>
      </c>
      <c r="S30" s="233">
        <f t="shared" si="30"/>
        <v>12.57</v>
      </c>
      <c r="T30" s="233">
        <f t="shared" si="31"/>
        <v>5.01</v>
      </c>
      <c r="U30" s="233">
        <f t="shared" si="32"/>
        <v>296.2</v>
      </c>
      <c r="V30" s="233">
        <f t="shared" si="33"/>
        <v>131.20000000000002</v>
      </c>
      <c r="W30" s="233">
        <f t="shared" si="34"/>
        <v>296.39999999999998</v>
      </c>
      <c r="X30" s="233">
        <f t="shared" si="35"/>
        <v>10.8</v>
      </c>
      <c r="Y30" s="233">
        <f t="shared" si="36"/>
        <v>28.4</v>
      </c>
      <c r="Z30" s="233">
        <f t="shared" si="37"/>
        <v>4</v>
      </c>
      <c r="AA30" s="320">
        <f t="shared" si="22"/>
        <v>155.03</v>
      </c>
      <c r="AB30" s="233">
        <f t="shared" si="38"/>
        <v>502.8</v>
      </c>
      <c r="AC30" s="320">
        <f t="shared" si="23"/>
        <v>61.79</v>
      </c>
      <c r="AD30" s="233">
        <f t="shared" si="39"/>
        <v>200.39999999999998</v>
      </c>
    </row>
    <row r="31" spans="1:30" ht="18.75" customHeight="1">
      <c r="A31" s="233">
        <v>14</v>
      </c>
      <c r="B31" s="375"/>
      <c r="C31" s="233" t="s">
        <v>590</v>
      </c>
      <c r="D31" s="233">
        <v>466</v>
      </c>
      <c r="E31" s="233">
        <v>6.17</v>
      </c>
      <c r="F31" s="233">
        <v>3.16</v>
      </c>
      <c r="G31" s="233">
        <v>7.41</v>
      </c>
      <c r="H31" s="233">
        <v>0.27</v>
      </c>
      <c r="I31" s="233">
        <v>0.71</v>
      </c>
      <c r="J31" s="233">
        <v>0.08</v>
      </c>
      <c r="K31" s="233">
        <v>12.57</v>
      </c>
      <c r="L31" s="233">
        <v>5</v>
      </c>
      <c r="M31" s="233" t="str">
        <f t="shared" si="24"/>
        <v/>
      </c>
      <c r="N31" s="233" t="str">
        <f t="shared" si="25"/>
        <v/>
      </c>
      <c r="O31" s="233" t="str">
        <f t="shared" si="26"/>
        <v/>
      </c>
      <c r="P31" s="233" t="str">
        <f t="shared" si="27"/>
        <v/>
      </c>
      <c r="Q31" s="233" t="str">
        <f t="shared" si="28"/>
        <v/>
      </c>
      <c r="R31" s="233" t="str">
        <f t="shared" si="29"/>
        <v/>
      </c>
      <c r="S31" s="233" t="str">
        <f t="shared" si="30"/>
        <v/>
      </c>
      <c r="T31" s="233" t="str">
        <f t="shared" si="31"/>
        <v/>
      </c>
      <c r="U31" s="233" t="str">
        <f t="shared" si="32"/>
        <v/>
      </c>
      <c r="V31" s="233" t="str">
        <f t="shared" si="33"/>
        <v/>
      </c>
      <c r="W31" s="233" t="str">
        <f t="shared" si="34"/>
        <v/>
      </c>
      <c r="X31" s="233" t="str">
        <f t="shared" si="35"/>
        <v/>
      </c>
      <c r="Y31" s="233" t="str">
        <f t="shared" si="36"/>
        <v/>
      </c>
      <c r="Z31" s="233" t="str">
        <f t="shared" si="37"/>
        <v/>
      </c>
      <c r="AA31" s="320" t="str">
        <f t="shared" si="22"/>
        <v/>
      </c>
      <c r="AB31" s="233" t="str">
        <f t="shared" si="38"/>
        <v/>
      </c>
      <c r="AC31" s="320" t="str">
        <f t="shared" si="23"/>
        <v/>
      </c>
      <c r="AD31" s="233" t="str">
        <f t="shared" si="39"/>
        <v/>
      </c>
    </row>
    <row r="32" spans="1:30" ht="18.75" customHeight="1">
      <c r="A32" s="319"/>
      <c r="B32" s="375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233">
        <f t="shared" si="24"/>
        <v>9.5850000000000009</v>
      </c>
      <c r="N32" s="233">
        <f t="shared" si="25"/>
        <v>3.3</v>
      </c>
      <c r="O32" s="233">
        <f t="shared" si="26"/>
        <v>7.41</v>
      </c>
      <c r="P32" s="233">
        <f t="shared" si="27"/>
        <v>0.27</v>
      </c>
      <c r="Q32" s="233">
        <f t="shared" si="28"/>
        <v>0.71</v>
      </c>
      <c r="R32" s="233">
        <f t="shared" si="29"/>
        <v>0.155</v>
      </c>
      <c r="S32" s="233">
        <f t="shared" si="30"/>
        <v>12.57</v>
      </c>
      <c r="T32" s="233">
        <f t="shared" si="31"/>
        <v>5.05</v>
      </c>
      <c r="U32" s="233">
        <f t="shared" si="32"/>
        <v>239.62500000000003</v>
      </c>
      <c r="V32" s="233">
        <f t="shared" si="33"/>
        <v>82.5</v>
      </c>
      <c r="W32" s="233">
        <f t="shared" si="34"/>
        <v>185.25</v>
      </c>
      <c r="X32" s="233">
        <f t="shared" si="35"/>
        <v>6.75</v>
      </c>
      <c r="Y32" s="233">
        <f t="shared" si="36"/>
        <v>17.75</v>
      </c>
      <c r="Z32" s="233">
        <f t="shared" si="37"/>
        <v>3.875</v>
      </c>
      <c r="AA32" s="320">
        <f t="shared" si="22"/>
        <v>155.03</v>
      </c>
      <c r="AB32" s="233">
        <f t="shared" si="38"/>
        <v>314.25</v>
      </c>
      <c r="AC32" s="320">
        <f t="shared" si="23"/>
        <v>62.283333333333331</v>
      </c>
      <c r="AD32" s="233">
        <f t="shared" si="39"/>
        <v>126.25</v>
      </c>
    </row>
    <row r="33" spans="1:30" ht="18.75" customHeight="1">
      <c r="A33" s="233">
        <v>15</v>
      </c>
      <c r="B33" s="375"/>
      <c r="C33" s="233" t="s">
        <v>591</v>
      </c>
      <c r="D33" s="233">
        <v>491</v>
      </c>
      <c r="E33" s="233">
        <v>13</v>
      </c>
      <c r="F33" s="233">
        <v>3.44</v>
      </c>
      <c r="G33" s="233">
        <v>7.41</v>
      </c>
      <c r="H33" s="233">
        <v>0.27</v>
      </c>
      <c r="I33" s="233">
        <v>0.71</v>
      </c>
      <c r="J33" s="233">
        <v>0.23</v>
      </c>
      <c r="K33" s="233">
        <v>12.57</v>
      </c>
      <c r="L33" s="233">
        <v>5.0999999999999996</v>
      </c>
      <c r="M33" s="233" t="str">
        <f>IF(E32="","",AVERAGE(E32,#REF!))</f>
        <v/>
      </c>
      <c r="N33" s="233"/>
      <c r="O33" s="233" t="str">
        <f>IF(G32="","",AVERAGE(G32,#REF!))</f>
        <v/>
      </c>
      <c r="P33" s="233" t="str">
        <f>IF(H32="","",AVERAGE(H32,#REF!))</f>
        <v/>
      </c>
      <c r="Q33" s="233" t="str">
        <f>IF(I32="","",AVERAGE(I32,#REF!))</f>
        <v/>
      </c>
      <c r="R33" s="233" t="str">
        <f>IF(J32="","",AVERAGE(J32,#REF!))</f>
        <v/>
      </c>
      <c r="S33" s="233" t="str">
        <f>IF(K32="","",AVERAGE(K32,#REF!))</f>
        <v/>
      </c>
      <c r="T33" s="233" t="str">
        <f>IF(L32="","",AVERAGE(L32,#REF!))</f>
        <v/>
      </c>
      <c r="U33" s="233" t="str">
        <f>IF(M33="","",M33*(#REF!-$D32))</f>
        <v/>
      </c>
      <c r="V33" s="233"/>
      <c r="W33" s="233" t="str">
        <f>IF(O33="","",O33*(#REF!-$D32))</f>
        <v/>
      </c>
      <c r="X33" s="233" t="str">
        <f>IF(P33="","",P33*(#REF!-$D32))</f>
        <v/>
      </c>
      <c r="Y33" s="233" t="str">
        <f>IF(Q33="","",Q33*(#REF!-$D32))</f>
        <v/>
      </c>
      <c r="Z33" s="233" t="str">
        <f>IF(R33="","",R33*(#REF!-$D32))</f>
        <v/>
      </c>
      <c r="AA33" s="320" t="str">
        <f t="shared" si="22"/>
        <v/>
      </c>
      <c r="AB33" s="233" t="str">
        <f>IF(S33="","",S33*(#REF!-$D32))</f>
        <v/>
      </c>
      <c r="AC33" s="320" t="str">
        <f t="shared" si="23"/>
        <v/>
      </c>
      <c r="AD33" s="233" t="str">
        <f>IF(T33="","",T33*(#REF!-$D32))</f>
        <v/>
      </c>
    </row>
    <row r="34" spans="1:30" ht="18.75" customHeight="1">
      <c r="A34" s="319"/>
      <c r="B34" s="234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21" t="s">
        <v>464</v>
      </c>
      <c r="U34" s="229">
        <f>SUM(U5:U33)</f>
        <v>5033.4650000000001</v>
      </c>
      <c r="V34" s="229">
        <f t="shared" ref="V34:AD34" si="40">SUM(V5:V33)</f>
        <v>1626.54</v>
      </c>
      <c r="W34" s="229">
        <f t="shared" si="40"/>
        <v>3428.6050000000005</v>
      </c>
      <c r="X34" s="229">
        <f t="shared" si="40"/>
        <v>126.89999999999999</v>
      </c>
      <c r="Y34" s="229">
        <f t="shared" si="40"/>
        <v>333.7</v>
      </c>
      <c r="Z34" s="229">
        <f t="shared" si="40"/>
        <v>89.805000000000007</v>
      </c>
      <c r="AA34" s="229">
        <f t="shared" si="40"/>
        <v>2015.3899999999999</v>
      </c>
      <c r="AB34" s="229">
        <f t="shared" si="40"/>
        <v>5907.9000000000005</v>
      </c>
      <c r="AC34" s="229">
        <f t="shared" si="40"/>
        <v>812.33499999999992</v>
      </c>
      <c r="AD34" s="229">
        <f t="shared" si="40"/>
        <v>2380.5450000000001</v>
      </c>
    </row>
  </sheetData>
  <mergeCells count="6">
    <mergeCell ref="A1:AD1"/>
    <mergeCell ref="B4:B16"/>
    <mergeCell ref="B18:B33"/>
    <mergeCell ref="E2:L2"/>
    <mergeCell ref="M2:T2"/>
    <mergeCell ref="U2:AD2"/>
  </mergeCells>
  <phoneticPr fontId="39" type="noConversion"/>
  <printOptions horizontalCentered="1"/>
  <pageMargins left="0" right="0" top="0.74803149606299213" bottom="0.74803149606299213" header="0.31496062992125984" footer="0.31496062992125984"/>
  <pageSetup paperSize="9" scale="53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F19B1-C837-474B-A6CE-59966555D474}">
  <sheetPr>
    <pageSetUpPr fitToPage="1"/>
  </sheetPr>
  <dimension ref="A1:G25"/>
  <sheetViews>
    <sheetView view="pageBreakPreview" zoomScale="60" zoomScaleNormal="100" workbookViewId="0">
      <selection activeCell="D11" sqref="D11"/>
    </sheetView>
  </sheetViews>
  <sheetFormatPr defaultRowHeight="15.6"/>
  <cols>
    <col min="2" max="2" width="33.88671875" customWidth="1"/>
    <col min="3" max="3" width="29.44140625" customWidth="1"/>
    <col min="4" max="4" width="14.5546875" customWidth="1"/>
    <col min="5" max="5" width="16.109375" customWidth="1"/>
    <col min="7" max="7" width="16.44140625" customWidth="1"/>
  </cols>
  <sheetData>
    <row r="1" spans="1:7" ht="17.399999999999999">
      <c r="A1" s="353" t="s">
        <v>512</v>
      </c>
      <c r="B1" s="353"/>
      <c r="C1" s="353"/>
      <c r="D1" s="353"/>
      <c r="E1" s="353"/>
      <c r="F1" s="353"/>
      <c r="G1" s="353"/>
    </row>
    <row r="2" spans="1:7" ht="27.6">
      <c r="A2" s="189" t="s">
        <v>166</v>
      </c>
      <c r="B2" s="276" t="s">
        <v>167</v>
      </c>
      <c r="C2" s="190" t="s">
        <v>513</v>
      </c>
      <c r="D2" s="190" t="s">
        <v>169</v>
      </c>
      <c r="E2" s="277" t="s">
        <v>170</v>
      </c>
      <c r="F2" s="278" t="s">
        <v>171</v>
      </c>
      <c r="G2" s="191" t="s">
        <v>172</v>
      </c>
    </row>
    <row r="3" spans="1:7">
      <c r="A3" s="57">
        <v>1</v>
      </c>
      <c r="B3" s="192" t="s">
        <v>514</v>
      </c>
      <c r="C3" s="57">
        <v>12</v>
      </c>
      <c r="D3" s="193">
        <v>20</v>
      </c>
      <c r="E3" s="194">
        <f>C3*D3</f>
        <v>240</v>
      </c>
      <c r="F3" s="194">
        <v>33.9</v>
      </c>
      <c r="G3" s="195">
        <f t="shared" ref="G3" si="0">E3*F3</f>
        <v>8136</v>
      </c>
    </row>
    <row r="4" spans="1:7">
      <c r="A4" s="57">
        <v>2</v>
      </c>
      <c r="B4" s="192" t="s">
        <v>514</v>
      </c>
      <c r="C4" s="57" t="s">
        <v>515</v>
      </c>
      <c r="D4" s="193">
        <v>1</v>
      </c>
      <c r="E4" s="194">
        <f ca="1">Eval(C4)*D4</f>
        <v>66.5</v>
      </c>
      <c r="F4" s="194">
        <v>33.9</v>
      </c>
      <c r="G4" s="195">
        <f ca="1">E4*F4</f>
        <v>2254.35</v>
      </c>
    </row>
    <row r="5" spans="1:7">
      <c r="A5" s="57">
        <v>3</v>
      </c>
      <c r="B5" s="192" t="s">
        <v>514</v>
      </c>
      <c r="C5" s="57">
        <v>1.77</v>
      </c>
      <c r="D5" s="193">
        <v>20</v>
      </c>
      <c r="E5" s="194">
        <f>C5*D5</f>
        <v>35.4</v>
      </c>
      <c r="F5" s="194">
        <v>33.9</v>
      </c>
      <c r="G5" s="195">
        <f>E5*F5</f>
        <v>1200.06</v>
      </c>
    </row>
    <row r="6" spans="1:7">
      <c r="A6" s="57">
        <v>4</v>
      </c>
      <c r="B6" s="192" t="s">
        <v>516</v>
      </c>
      <c r="C6" s="57">
        <v>12</v>
      </c>
      <c r="D6" s="193">
        <v>170</v>
      </c>
      <c r="E6" s="194">
        <f>C6*D6</f>
        <v>2040</v>
      </c>
      <c r="F6" s="194">
        <v>76.099999999999994</v>
      </c>
      <c r="G6" s="195">
        <f>E6*F6</f>
        <v>155244</v>
      </c>
    </row>
    <row r="7" spans="1:7">
      <c r="A7" s="354"/>
      <c r="B7" s="379" t="s">
        <v>179</v>
      </c>
      <c r="C7" s="380"/>
      <c r="D7" s="380"/>
      <c r="E7" s="380"/>
      <c r="F7" s="381"/>
      <c r="G7" s="196">
        <f ca="1">SUM(G3:G6)</f>
        <v>166834.41</v>
      </c>
    </row>
    <row r="8" spans="1:7">
      <c r="A8" s="355"/>
      <c r="B8" s="362"/>
      <c r="C8" s="382"/>
      <c r="D8" s="207" t="s">
        <v>180</v>
      </c>
      <c r="E8" s="290"/>
      <c r="F8" s="199"/>
      <c r="G8" s="200">
        <f>SUM(G6,G3)</f>
        <v>163380</v>
      </c>
    </row>
    <row r="9" spans="1:7">
      <c r="A9" s="358"/>
      <c r="B9" s="364"/>
      <c r="C9" s="365"/>
      <c r="D9" s="291" t="s">
        <v>517</v>
      </c>
      <c r="E9" s="280"/>
      <c r="F9" s="281"/>
      <c r="G9" s="282">
        <f ca="1">SUM(G4:G5)</f>
        <v>3454.41</v>
      </c>
    </row>
    <row r="10" spans="1:7">
      <c r="A10" s="201" t="s">
        <v>183</v>
      </c>
      <c r="B10" s="190" t="s">
        <v>186</v>
      </c>
      <c r="C10" s="190" t="s">
        <v>187</v>
      </c>
      <c r="D10" s="201" t="s">
        <v>13</v>
      </c>
      <c r="E10" s="202" t="s">
        <v>184</v>
      </c>
      <c r="F10" s="203"/>
      <c r="G10" s="203"/>
    </row>
    <row r="11" spans="1:7">
      <c r="A11" s="54">
        <v>1</v>
      </c>
      <c r="B11" s="204" t="s">
        <v>518</v>
      </c>
      <c r="C11" s="204"/>
      <c r="D11" s="205" t="s">
        <v>519</v>
      </c>
      <c r="E11" s="292">
        <v>170</v>
      </c>
      <c r="F11" s="207"/>
      <c r="G11" s="207"/>
    </row>
    <row r="12" spans="1:7">
      <c r="A12" s="55">
        <v>2</v>
      </c>
      <c r="B12" s="204" t="s">
        <v>520</v>
      </c>
      <c r="C12" s="204"/>
      <c r="D12" s="189" t="s">
        <v>185</v>
      </c>
      <c r="E12" s="208">
        <v>10</v>
      </c>
      <c r="F12" s="209"/>
      <c r="G12" s="209"/>
    </row>
    <row r="13" spans="1:7">
      <c r="A13" s="54">
        <v>3</v>
      </c>
      <c r="B13" s="204" t="s">
        <v>521</v>
      </c>
      <c r="C13" s="204"/>
      <c r="D13" s="189" t="s">
        <v>10</v>
      </c>
      <c r="E13" s="293">
        <f ca="1">E15</f>
        <v>3.4544099999999998</v>
      </c>
      <c r="F13" s="209"/>
      <c r="G13" s="209"/>
    </row>
    <row r="14" spans="1:7">
      <c r="A14" s="56"/>
      <c r="B14" s="294" t="s">
        <v>522</v>
      </c>
      <c r="C14" s="211"/>
      <c r="D14" s="212" t="s">
        <v>10</v>
      </c>
      <c r="E14" s="213">
        <f>G8/1000</f>
        <v>163.38</v>
      </c>
      <c r="F14" s="209"/>
      <c r="G14" s="209"/>
    </row>
    <row r="15" spans="1:7">
      <c r="A15" s="56"/>
      <c r="B15" s="294" t="s">
        <v>523</v>
      </c>
      <c r="C15" s="211"/>
      <c r="D15" s="212" t="s">
        <v>10</v>
      </c>
      <c r="E15" s="213">
        <f ca="1">G9/1000</f>
        <v>3.4544099999999998</v>
      </c>
      <c r="F15" s="209"/>
      <c r="G15" s="209"/>
    </row>
    <row r="16" spans="1:7">
      <c r="A16" s="55">
        <v>4</v>
      </c>
      <c r="B16" s="214" t="s">
        <v>524</v>
      </c>
      <c r="C16" s="189" t="s">
        <v>534</v>
      </c>
      <c r="D16" s="189" t="s">
        <v>10</v>
      </c>
      <c r="E16" s="215">
        <f ca="1">Eval(C16)</f>
        <v>70.563822000000002</v>
      </c>
      <c r="F16" s="209"/>
      <c r="G16" s="209"/>
    </row>
    <row r="17" spans="1:7">
      <c r="A17" s="54">
        <v>5</v>
      </c>
      <c r="B17" s="214" t="s">
        <v>525</v>
      </c>
      <c r="C17" s="189" t="s">
        <v>535</v>
      </c>
      <c r="D17" s="189" t="s">
        <v>10</v>
      </c>
      <c r="E17" s="215">
        <f ca="1">Eval(C17)</f>
        <v>2.9013600000000004</v>
      </c>
      <c r="F17" s="216"/>
      <c r="G17" s="216"/>
    </row>
    <row r="18" spans="1:7">
      <c r="A18" s="55">
        <v>6</v>
      </c>
      <c r="B18" s="214" t="s">
        <v>526</v>
      </c>
      <c r="C18" s="295" t="s">
        <v>536</v>
      </c>
      <c r="D18" s="189" t="s">
        <v>10</v>
      </c>
      <c r="E18" s="215">
        <f ca="1">Eval(C18)</f>
        <v>34.54</v>
      </c>
      <c r="F18" s="216"/>
      <c r="G18" s="216"/>
    </row>
    <row r="19" spans="1:7">
      <c r="A19" s="54">
        <v>7</v>
      </c>
      <c r="B19" s="214" t="s">
        <v>527</v>
      </c>
      <c r="C19" s="189" t="s">
        <v>531</v>
      </c>
      <c r="D19" s="189" t="s">
        <v>6</v>
      </c>
      <c r="E19" s="215">
        <f ca="1">Eval(C19)/100</f>
        <v>153</v>
      </c>
      <c r="F19" s="216"/>
      <c r="G19" s="216"/>
    </row>
    <row r="20" spans="1:7">
      <c r="A20" s="55">
        <v>8</v>
      </c>
      <c r="B20" s="214" t="s">
        <v>528</v>
      </c>
      <c r="C20" s="189" t="s">
        <v>532</v>
      </c>
      <c r="D20" s="189" t="s">
        <v>6</v>
      </c>
      <c r="E20" s="215">
        <f t="shared" ref="E20:E21" ca="1" si="1">Eval(C20)/100</f>
        <v>51</v>
      </c>
      <c r="F20" s="216"/>
      <c r="G20" s="216"/>
    </row>
    <row r="21" spans="1:7">
      <c r="A21" s="54">
        <v>9</v>
      </c>
      <c r="B21" s="214" t="s">
        <v>529</v>
      </c>
      <c r="C21" s="189" t="s">
        <v>537</v>
      </c>
      <c r="D21" s="189" t="str">
        <f>D19</f>
        <v>100m</v>
      </c>
      <c r="E21" s="215">
        <f t="shared" ca="1" si="1"/>
        <v>204</v>
      </c>
      <c r="F21" s="216"/>
      <c r="G21" s="216"/>
    </row>
    <row r="22" spans="1:7">
      <c r="A22" s="55">
        <v>10</v>
      </c>
      <c r="B22" s="214" t="s">
        <v>194</v>
      </c>
      <c r="C22" s="189" t="s">
        <v>538</v>
      </c>
      <c r="D22" s="189" t="s">
        <v>6</v>
      </c>
      <c r="E22" s="215">
        <f ca="1">Eval(C22)/100</f>
        <v>19.2</v>
      </c>
      <c r="F22" s="216"/>
      <c r="G22" s="216"/>
    </row>
    <row r="23" spans="1:7">
      <c r="A23" s="54">
        <v>11</v>
      </c>
      <c r="B23" s="214" t="s">
        <v>530</v>
      </c>
      <c r="C23" s="189" t="s">
        <v>533</v>
      </c>
      <c r="D23" s="189" t="s">
        <v>6</v>
      </c>
      <c r="E23" s="215">
        <f t="shared" ref="E23:E25" ca="1" si="2">Eval(C23)/100</f>
        <v>4.8</v>
      </c>
      <c r="F23" s="216"/>
      <c r="G23" s="216"/>
    </row>
    <row r="24" spans="1:7">
      <c r="A24" s="55">
        <v>12</v>
      </c>
      <c r="B24" s="214" t="s">
        <v>566</v>
      </c>
      <c r="C24" s="189" t="s">
        <v>538</v>
      </c>
      <c r="D24" s="189" t="str">
        <f>D22</f>
        <v>100m</v>
      </c>
      <c r="E24" s="215">
        <f t="shared" ca="1" si="2"/>
        <v>19.2</v>
      </c>
      <c r="F24" s="123"/>
      <c r="G24" s="123"/>
    </row>
    <row r="25" spans="1:7">
      <c r="A25" s="55">
        <v>13</v>
      </c>
      <c r="B25" s="214" t="s">
        <v>567</v>
      </c>
      <c r="C25" s="189" t="s">
        <v>533</v>
      </c>
      <c r="D25" s="189" t="str">
        <f>D23</f>
        <v>100m</v>
      </c>
      <c r="E25" s="215">
        <f t="shared" ca="1" si="2"/>
        <v>4.8</v>
      </c>
    </row>
  </sheetData>
  <mergeCells count="4">
    <mergeCell ref="A1:G1"/>
    <mergeCell ref="A7:A9"/>
    <mergeCell ref="B7:F7"/>
    <mergeCell ref="B8:C9"/>
  </mergeCells>
  <printOptions horizontalCentered="1"/>
  <pageMargins left="0.70866141732283472" right="0" top="0.74803149606299213" bottom="0.74803149606299213" header="0.31496062992125984" footer="0.31496062992125984"/>
  <pageSetup paperSize="9" scale="82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170B8-F84F-40D3-9704-CB4EA1BF8848}">
  <sheetPr>
    <pageSetUpPr fitToPage="1"/>
  </sheetPr>
  <dimension ref="A1:O163"/>
  <sheetViews>
    <sheetView workbookViewId="0">
      <selection activeCell="E18" sqref="E18"/>
    </sheetView>
  </sheetViews>
  <sheetFormatPr defaultRowHeight="15.6"/>
  <cols>
    <col min="1" max="1" width="4" style="310" bestFit="1" customWidth="1"/>
    <col min="2" max="2" width="84.6640625" style="310" bestFit="1" customWidth="1"/>
    <col min="3" max="3" width="7" style="310" bestFit="1" customWidth="1"/>
    <col min="4" max="4" width="9.5546875" style="310" bestFit="1" customWidth="1"/>
    <col min="5" max="15" width="9.109375" style="310"/>
  </cols>
  <sheetData>
    <row r="1" spans="1:4">
      <c r="A1" s="310" t="str">
        <f>'TONG HOP'!A6</f>
        <v>HM</v>
      </c>
      <c r="B1" s="310" t="str">
        <f>'TONG HOP'!C6</f>
        <v>KÈ</v>
      </c>
    </row>
    <row r="2" spans="1:4">
      <c r="A2" s="310" t="str">
        <f>'TONG HOP'!A7</f>
        <v>*</v>
      </c>
      <c r="B2" s="310" t="str">
        <f>'TONG HOP'!C7</f>
        <v>ĐÀO ĐẤP</v>
      </c>
    </row>
    <row r="3" spans="1:4">
      <c r="A3" s="310">
        <f>'TONG HOP'!A8</f>
        <v>1</v>
      </c>
      <c r="B3" s="310" t="str">
        <f>'TONG HOP'!C8</f>
        <v>Đào bụi dừa nước</v>
      </c>
      <c r="C3" s="310" t="str">
        <f>'TONG HOP'!D8</f>
        <v>Bụi</v>
      </c>
      <c r="D3" s="310">
        <f ca="1">'TONG HOP'!I8</f>
        <v>3250</v>
      </c>
    </row>
    <row r="4" spans="1:4">
      <c r="A4" s="310">
        <f>'TONG HOP'!A9</f>
        <v>2</v>
      </c>
      <c r="B4" s="310" t="str">
        <f>'TONG HOP'!C9</f>
        <v>Đào đất mái kè</v>
      </c>
      <c r="C4" s="310" t="str">
        <f>'TONG HOP'!D9</f>
        <v>100m3</v>
      </c>
      <c r="D4" s="310">
        <f>'TONG HOP'!I9</f>
        <v>50.335000000000001</v>
      </c>
    </row>
    <row r="5" spans="1:4">
      <c r="A5" s="310">
        <f>'TONG HOP'!A10</f>
        <v>3</v>
      </c>
      <c r="B5" s="310" t="str">
        <f>'TONG HOP'!C10</f>
        <v>Đắp đất đầm chặt K&gt;=0,9</v>
      </c>
      <c r="C5" s="310" t="str">
        <f>'TONG HOP'!D10</f>
        <v>100m3</v>
      </c>
      <c r="D5" s="310">
        <f>'TONG HOP'!I10</f>
        <v>16.265000000000001</v>
      </c>
    </row>
    <row r="6" spans="1:4">
      <c r="A6" s="310">
        <f>'TONG HOP'!A12</f>
        <v>4</v>
      </c>
      <c r="B6" s="310" t="str">
        <f>'TONG HOP'!C12</f>
        <v>Vận chuyển đất đào 1Km</v>
      </c>
      <c r="C6" s="310" t="str">
        <f>'TONG HOP'!D12</f>
        <v>100m3</v>
      </c>
      <c r="D6" s="310">
        <f ca="1">'TONG HOP'!I12</f>
        <v>75.77</v>
      </c>
    </row>
    <row r="7" spans="1:4">
      <c r="A7" s="310">
        <f>'TONG HOP'!A13</f>
        <v>5</v>
      </c>
      <c r="B7" s="310" t="str">
        <f>'TONG HOP'!C13</f>
        <v>Vận chuyển đất đào 5Km</v>
      </c>
      <c r="C7" s="310" t="str">
        <f>'TONG HOP'!D13</f>
        <v>100m3</v>
      </c>
      <c r="D7" s="310">
        <f ca="1">'TONG HOP'!I13</f>
        <v>75.77</v>
      </c>
    </row>
    <row r="8" spans="1:4">
      <c r="A8" s="310">
        <f>'TONG HOP'!A14</f>
        <v>6</v>
      </c>
      <c r="B8" s="310" t="str">
        <f>'TONG HOP'!C14</f>
        <v>Đắp cát đầm chặt K&gt;=0,9</v>
      </c>
      <c r="C8" s="310" t="str">
        <f>'TONG HOP'!D14</f>
        <v>100m3</v>
      </c>
      <c r="D8" s="310">
        <f>'TONG HOP'!I14</f>
        <v>34.286000000000001</v>
      </c>
    </row>
    <row r="9" spans="1:4">
      <c r="A9" s="310">
        <f>'TONG HOP'!A15</f>
        <v>7</v>
      </c>
      <c r="B9" s="310" t="str">
        <f>'TONG HOP'!C15</f>
        <v>Tầng lọc đá 4x6</v>
      </c>
      <c r="C9" s="310" t="str">
        <f>'TONG HOP'!D15</f>
        <v>100m3</v>
      </c>
      <c r="D9" s="310">
        <f>'TONG HOP'!I15</f>
        <v>3.3370000000000002</v>
      </c>
    </row>
    <row r="10" spans="1:4">
      <c r="A10" s="310">
        <f>'TONG HOP'!A16</f>
        <v>8</v>
      </c>
      <c r="B10" s="310" t="str">
        <f>'TONG HOP'!C16</f>
        <v>Đá dăm 1x2 tầng lọc</v>
      </c>
      <c r="C10" s="310" t="str">
        <f>'TONG HOP'!D16</f>
        <v>100m3</v>
      </c>
      <c r="D10" s="310">
        <f>'TONG HOP'!I16</f>
        <v>1.2689999999999999</v>
      </c>
    </row>
    <row r="11" spans="1:4">
      <c r="A11" s="310">
        <f>'TONG HOP'!A17</f>
        <v>9</v>
      </c>
      <c r="B11" s="310" t="str">
        <f>'TONG HOP'!C17</f>
        <v>Trải vải địa kỹ thuật trên cạn (B=4m)</v>
      </c>
      <c r="C11" s="310" t="str">
        <f>'TONG HOP'!D17</f>
        <v>100m2</v>
      </c>
      <c r="D11" s="310">
        <f>'TONG HOP'!I17</f>
        <v>79.233000000000004</v>
      </c>
    </row>
    <row r="13" spans="1:4">
      <c r="A13" s="310" t="str">
        <f>'TONG HOP'!A20</f>
        <v>*</v>
      </c>
      <c r="B13" s="310" t="str">
        <f>'TONG HOP'!C20</f>
        <v>GIA CỐ MÁI</v>
      </c>
    </row>
    <row r="14" spans="1:4">
      <c r="A14" s="310">
        <f>'TONG HOP'!A21</f>
        <v>10</v>
      </c>
      <c r="B14" s="310" t="str">
        <f>'TONG HOP'!C21</f>
        <v>Trải vải địa kỹ thuật dưới nước (B=4m)</v>
      </c>
      <c r="C14" s="310" t="str">
        <f>'TONG HOP'!D21</f>
        <v>100m2</v>
      </c>
      <c r="D14" s="310">
        <f>'TONG HOP'!I21</f>
        <v>31.928999999999998</v>
      </c>
    </row>
    <row r="15" spans="1:4">
      <c r="A15" s="310">
        <f>'TONG HOP'!A25</f>
        <v>11</v>
      </c>
      <c r="B15" s="310" t="str">
        <f>'TONG HOP'!C25</f>
        <v>Thảm đá (5x2x0,3)m</v>
      </c>
      <c r="C15" s="310" t="str">
        <f>'TONG HOP'!D25</f>
        <v>Thảm</v>
      </c>
      <c r="D15" s="310">
        <f ca="1">'TONG HOP'!I25</f>
        <v>235</v>
      </c>
    </row>
    <row r="16" spans="1:4">
      <c r="A16" s="310">
        <f>'TONG HOP'!A27</f>
        <v>12</v>
      </c>
      <c r="B16" s="310" t="str">
        <f>'TONG HOP'!C27</f>
        <v>Cừ nhựa uPVC dài 4m</v>
      </c>
      <c r="C16" s="310" t="str">
        <f>'TONG HOP'!D27</f>
        <v>100m</v>
      </c>
      <c r="D16" s="310">
        <f>'TONG HOP'!I27</f>
        <v>31.330000000000002</v>
      </c>
    </row>
    <row r="17" spans="1:4">
      <c r="A17" s="310">
        <f>'TONG HOP'!A28</f>
        <v>13</v>
      </c>
      <c r="B17" s="310" t="str">
        <f>'TONG HOP'!C28</f>
        <v>Đóng cừ nhựa uPVC</v>
      </c>
      <c r="C17" s="310" t="str">
        <f>'TONG HOP'!D28</f>
        <v>100m</v>
      </c>
      <c r="D17" s="310">
        <f>'TONG HOP'!I28</f>
        <v>31.330000000000002</v>
      </c>
    </row>
    <row r="19" spans="1:4">
      <c r="A19" s="310" t="str">
        <f>'TONG HOP'!A29</f>
        <v>*</v>
      </c>
      <c r="B19" s="310" t="str">
        <f>'TONG HOP'!C29</f>
        <v>VỈA HÈ</v>
      </c>
    </row>
    <row r="20" spans="1:4">
      <c r="A20" s="310">
        <f>'TONG HOP'!A30</f>
        <v>14</v>
      </c>
      <c r="B20" s="310" t="str">
        <f>'TONG HOP'!C30</f>
        <v>Cấp phối đá dăm, K&gt;=0.98, dày 10cm</v>
      </c>
      <c r="C20" s="310" t="str">
        <f>'TONG HOP'!D30</f>
        <v>m3</v>
      </c>
      <c r="D20" s="310">
        <f ca="1">'TONG HOP'!I30</f>
        <v>117.5</v>
      </c>
    </row>
    <row r="21" spans="1:4">
      <c r="A21" s="310">
        <f>'TONG HOP'!A31</f>
        <v>15</v>
      </c>
      <c r="B21" s="310" t="str">
        <f>'TONG HOP'!C31</f>
        <v xml:space="preserve">Bê tông xi măng đá 1x2 M250 dày 10cm đổ tại chỗ </v>
      </c>
      <c r="C21" s="310" t="str">
        <f>'TONG HOP'!D31</f>
        <v>m3</v>
      </c>
      <c r="D21" s="310">
        <f ca="1">'TONG HOP'!I31</f>
        <v>117.5</v>
      </c>
    </row>
    <row r="23" spans="1:4">
      <c r="A23" s="310" t="str">
        <f>'TONG HOP'!A32</f>
        <v>*</v>
      </c>
      <c r="B23" s="310" t="str">
        <f>'TONG HOP'!C32</f>
        <v>CỌC ĐẠI TRÀ BTCT 35x35, 35.5m</v>
      </c>
    </row>
    <row r="24" spans="1:4">
      <c r="A24" s="310">
        <f>'TONG HOP'!A33</f>
        <v>16</v>
      </c>
      <c r="B24" s="310" t="str">
        <f>'TONG HOP'!C33</f>
        <v>Bê tông cọc đá 1x2 M300</v>
      </c>
      <c r="C24" s="310" t="str">
        <f>'TONG HOP'!D33</f>
        <v>m3</v>
      </c>
      <c r="D24" s="310">
        <f ca="1">'TONG HOP'!I33</f>
        <v>2372.2849999999999</v>
      </c>
    </row>
    <row r="25" spans="1:4">
      <c r="A25" s="310">
        <f>'TONG HOP'!A34</f>
        <v>17</v>
      </c>
      <c r="B25" s="310" t="str">
        <f>'TONG HOP'!C34</f>
        <v>Ván khuôn cọc</v>
      </c>
      <c r="C25" s="310" t="str">
        <f>'TONG HOP'!D34</f>
        <v>100m2</v>
      </c>
      <c r="D25" s="310">
        <f ca="1">'TONG HOP'!I34</f>
        <v>139.78100000000001</v>
      </c>
    </row>
    <row r="26" spans="1:4">
      <c r="A26" s="310">
        <f>'TONG HOP'!A35</f>
        <v>18</v>
      </c>
      <c r="B26" s="310" t="str">
        <f>'TONG HOP'!C35</f>
        <v>Thép D&lt;=10 mm</v>
      </c>
      <c r="C26" s="310" t="str">
        <f>'TONG HOP'!D35</f>
        <v>Tấn</v>
      </c>
      <c r="D26" s="310">
        <f>'TONG HOP'!I35</f>
        <v>52.573999999999998</v>
      </c>
    </row>
    <row r="27" spans="1:4">
      <c r="A27" s="310">
        <f>'TONG HOP'!A36</f>
        <v>19</v>
      </c>
      <c r="B27" s="310" t="str">
        <f>'TONG HOP'!C36</f>
        <v>Thép D&lt;=18 mm</v>
      </c>
      <c r="C27" s="310" t="str">
        <f>'TONG HOP'!D36</f>
        <v>Tấn</v>
      </c>
      <c r="D27" s="310">
        <f>'TONG HOP'!I36</f>
        <v>27.411999999999999</v>
      </c>
    </row>
    <row r="28" spans="1:4">
      <c r="A28" s="310">
        <f>'TONG HOP'!A37</f>
        <v>20</v>
      </c>
      <c r="B28" s="310" t="str">
        <f>'TONG HOP'!C37</f>
        <v>Thép D&gt;18 mm</v>
      </c>
      <c r="C28" s="310" t="str">
        <f>'TONG HOP'!D37</f>
        <v>Tấn</v>
      </c>
      <c r="D28" s="310">
        <f>'TONG HOP'!I37</f>
        <v>391.64600000000002</v>
      </c>
    </row>
    <row r="29" spans="1:4">
      <c r="A29" s="310">
        <f>'TONG HOP'!A38</f>
        <v>21</v>
      </c>
      <c r="B29" s="310" t="str">
        <f>'TONG HOP'!C38</f>
        <v>Thép tấm 320x120x12</v>
      </c>
      <c r="C29" s="310" t="str">
        <f>'TONG HOP'!D38</f>
        <v>Tấn</v>
      </c>
      <c r="D29" s="310">
        <f>'TONG HOP'!I38</f>
        <v>26.417000000000002</v>
      </c>
    </row>
    <row r="30" spans="1:4">
      <c r="A30" s="310">
        <f>'TONG HOP'!A39</f>
        <v>22</v>
      </c>
      <c r="B30" s="310" t="str">
        <f>'TONG HOP'!C39</f>
        <v>Thép bản nối cọc</v>
      </c>
      <c r="C30" s="310" t="str">
        <f>'TONG HOP'!D39</f>
        <v>Tấn</v>
      </c>
      <c r="D30" s="310">
        <f>'TONG HOP'!I39</f>
        <v>234.02600000000001</v>
      </c>
    </row>
    <row r="31" spans="1:4">
      <c r="A31" s="310">
        <f>'TONG HOP'!A40</f>
        <v>23</v>
      </c>
      <c r="B31" s="310" t="str">
        <f>'TONG HOP'!C40</f>
        <v>Thép hình nối cọc</v>
      </c>
      <c r="C31" s="310" t="str">
        <f>'TONG HOP'!D40</f>
        <v>Tấn</v>
      </c>
      <c r="D31" s="310">
        <f>'TONG HOP'!I40</f>
        <v>16.306000000000001</v>
      </c>
    </row>
    <row r="32" spans="1:4">
      <c r="A32" s="310">
        <f>'TONG HOP'!A41</f>
        <v>24</v>
      </c>
      <c r="B32" s="310" t="str">
        <f>'TONG HOP'!C41</f>
        <v>Đóng cọc thẳng</v>
      </c>
      <c r="C32" s="310" t="str">
        <f>'TONG HOP'!D41</f>
        <v>100m</v>
      </c>
      <c r="D32" s="310">
        <f>'TONG HOP'!I41</f>
        <v>73.319999999999993</v>
      </c>
    </row>
    <row r="33" spans="1:4">
      <c r="A33" s="310">
        <f>'TONG HOP'!A42</f>
        <v>25</v>
      </c>
      <c r="B33" s="310" t="str">
        <f>'TONG HOP'!C42</f>
        <v>Đóng cọc xiên</v>
      </c>
      <c r="C33" s="310" t="str">
        <f>'TONG HOP'!D42</f>
        <v>100m</v>
      </c>
      <c r="D33" s="310">
        <f>'TONG HOP'!I42</f>
        <v>137.66999999999999</v>
      </c>
    </row>
    <row r="34" spans="1:4">
      <c r="A34" s="310">
        <f>'TONG HOP'!A43</f>
        <v>26</v>
      </c>
      <c r="B34" s="310" t="str">
        <f>'TONG HOP'!C43</f>
        <v>Nối cọc bê tông cốt thép, kích thước cọc 35x35 (cm)</v>
      </c>
      <c r="C34" s="310" t="str">
        <f>'TONG HOP'!D43</f>
        <v>Mối nối</v>
      </c>
      <c r="D34" s="310">
        <f>'TONG HOP'!I43</f>
        <v>1082</v>
      </c>
    </row>
    <row r="35" spans="1:4">
      <c r="A35" s="310">
        <f>'TONG HOP'!A44</f>
        <v>27</v>
      </c>
      <c r="B35" s="310" t="str">
        <f>'TONG HOP'!C44</f>
        <v>Đập đầu cọc</v>
      </c>
      <c r="C35" s="310" t="str">
        <f>'TONG HOP'!D44</f>
        <v>m3</v>
      </c>
      <c r="D35" s="310">
        <f ca="1">'TONG HOP'!I44</f>
        <v>36.450000000000003</v>
      </c>
    </row>
    <row r="36" spans="1:4">
      <c r="A36" s="310">
        <f>'TONG HOP'!A45</f>
        <v>28</v>
      </c>
      <c r="B36" s="310" t="str">
        <f>'TONG HOP'!C45</f>
        <v>Vận chuyển đất, cát đổ đi bằng tàu kéo 360 CV, xà lan 400 tấn, vận chuyển 1 km đầu</v>
      </c>
      <c r="C36" s="310" t="str">
        <f>'TONG HOP'!D45</f>
        <v>100m3</v>
      </c>
      <c r="D36" s="310">
        <f ca="1">'TONG HOP'!I45</f>
        <v>0.36450000000000005</v>
      </c>
    </row>
    <row r="37" spans="1:4">
      <c r="A37" s="310">
        <f>'TONG HOP'!A46</f>
        <v>29</v>
      </c>
      <c r="B37" s="310" t="str">
        <f>'TONG HOP'!C46</f>
        <v>Vận chuyển đất, cát đổ đi bằng tàu kéo 360 CV, xà lan 400 tấn, vận chuyển 1 km tiếp theo 5km, cự ly &lt;=6 km</v>
      </c>
      <c r="C37" s="310" t="str">
        <f>'TONG HOP'!D46</f>
        <v>100m3</v>
      </c>
      <c r="D37" s="310">
        <f ca="1">'TONG HOP'!I46</f>
        <v>0.36450000000000005</v>
      </c>
    </row>
    <row r="38" spans="1:4">
      <c r="A38" s="310">
        <f>'TONG HOP'!A47</f>
        <v>30</v>
      </c>
      <c r="B38" s="310" t="str">
        <f>'TONG HOP'!C47</f>
        <v>Đào xúc phế thải bằng máy đào &lt;=0,8 m3 và máy ủi &lt;=110 CV</v>
      </c>
      <c r="C38" s="310" t="str">
        <f>'TONG HOP'!D47</f>
        <v>100m3</v>
      </c>
      <c r="D38" s="310">
        <f ca="1">'TONG HOP'!I47</f>
        <v>0.36450000000000005</v>
      </c>
    </row>
    <row r="39" spans="1:4">
      <c r="A39" s="310">
        <f>'TONG HOP'!A48</f>
        <v>31</v>
      </c>
      <c r="B39" s="310" t="str">
        <f>'TONG HOP'!C48</f>
        <v>Bốc xếp cọc BTCT bằng cơ giới, số lượng bốc xếp lên</v>
      </c>
      <c r="C39" s="310" t="str">
        <f>'TONG HOP'!D48</f>
        <v>Tấn</v>
      </c>
      <c r="D39" s="310">
        <f ca="1">'TONG HOP'!I48</f>
        <v>6553.9279999999999</v>
      </c>
    </row>
    <row r="40" spans="1:4">
      <c r="A40" s="310">
        <f>'TONG HOP'!A49</f>
        <v>32</v>
      </c>
      <c r="B40" s="310" t="str">
        <f>'TONG HOP'!C49</f>
        <v>Bốc xếp cọc BTCT bằng cơ giới, số lượng bốc xếp xuống</v>
      </c>
      <c r="C40" s="310" t="str">
        <f>'TONG HOP'!D49</f>
        <v>Tấn</v>
      </c>
      <c r="D40" s="310">
        <f ca="1">'TONG HOP'!I49</f>
        <v>6553.9279999999999</v>
      </c>
    </row>
    <row r="41" spans="1:4">
      <c r="A41" s="310">
        <f>'TONG HOP'!A50</f>
        <v>33</v>
      </c>
      <c r="B41" s="310" t="str">
        <f>'TONG HOP'!C50</f>
        <v>Quét nhựa đường</v>
      </c>
      <c r="C41" s="310" t="str">
        <f>'TONG HOP'!D50</f>
        <v>m2</v>
      </c>
      <c r="D41" s="310">
        <f ca="1">'TONG HOP'!I50</f>
        <v>1287.58</v>
      </c>
    </row>
    <row r="42" spans="1:4">
      <c r="A42" s="310">
        <f>'TONG HOP'!A51</f>
        <v>34</v>
      </c>
      <c r="B42" s="310" t="str">
        <f>'TONG HOP'!C51</f>
        <v xml:space="preserve">Vận chuyển cọc </v>
      </c>
      <c r="C42" s="310" t="str">
        <f>'TONG HOP'!D51</f>
        <v>100m3</v>
      </c>
      <c r="D42" s="310">
        <f ca="1">'TONG HOP'!I51</f>
        <v>23.722849999999998</v>
      </c>
    </row>
    <row r="44" spans="1:4">
      <c r="A44" s="310" t="str">
        <f>'TONG HOP'!A52</f>
        <v>*</v>
      </c>
      <c r="B44" s="310" t="str">
        <f>'TONG HOP'!C52</f>
        <v xml:space="preserve">CỌC THỬ BTCT 35x35,  37.5 m </v>
      </c>
    </row>
    <row r="45" spans="1:4">
      <c r="A45" s="310">
        <f>'TONG HOP'!A53</f>
        <v>35</v>
      </c>
      <c r="B45" s="310" t="str">
        <f>'TONG HOP'!C53</f>
        <v>Bê tông cọc đá 1x2 M300</v>
      </c>
      <c r="C45" s="310" t="str">
        <f>'TONG HOP'!D53</f>
        <v>m3</v>
      </c>
      <c r="D45" s="310">
        <f ca="1">'TONG HOP'!I53</f>
        <v>27.78</v>
      </c>
    </row>
    <row r="46" spans="1:4">
      <c r="A46" s="310">
        <f>'TONG HOP'!A54</f>
        <v>36</v>
      </c>
      <c r="B46" s="310" t="str">
        <f>'TONG HOP'!C54</f>
        <v>Ván khuôn cọc</v>
      </c>
      <c r="C46" s="310" t="str">
        <f>'TONG HOP'!D54</f>
        <v>100m2</v>
      </c>
      <c r="D46" s="310">
        <f ca="1">'TONG HOP'!I54</f>
        <v>1.7809999999999999</v>
      </c>
    </row>
    <row r="47" spans="1:4">
      <c r="A47" s="310">
        <f>'TONG HOP'!A55</f>
        <v>37</v>
      </c>
      <c r="B47" s="310" t="str">
        <f>'TONG HOP'!C55</f>
        <v>Thép D&lt;=10 mm</v>
      </c>
      <c r="C47" s="310" t="str">
        <f>'TONG HOP'!D55</f>
        <v>Tấn</v>
      </c>
      <c r="D47" s="310">
        <f>'TONG HOP'!I55</f>
        <v>0.59699999999999998</v>
      </c>
    </row>
    <row r="48" spans="1:4">
      <c r="A48" s="310">
        <f>'TONG HOP'!A56</f>
        <v>38</v>
      </c>
      <c r="B48" s="310" t="str">
        <f>'TONG HOP'!C56</f>
        <v>Thép D&lt;=18 mm</v>
      </c>
      <c r="C48" s="310" t="str">
        <f>'TONG HOP'!D56</f>
        <v>Tấn</v>
      </c>
      <c r="D48" s="310">
        <f>'TONG HOP'!I56</f>
        <v>0.30399999999999999</v>
      </c>
    </row>
    <row r="49" spans="1:4">
      <c r="A49" s="310">
        <f>'TONG HOP'!A57</f>
        <v>39</v>
      </c>
      <c r="B49" s="310" t="str">
        <f>'TONG HOP'!C57</f>
        <v>Thép D&gt;18 mm</v>
      </c>
      <c r="C49" s="310" t="str">
        <f>'TONG HOP'!D57</f>
        <v>Tấn</v>
      </c>
      <c r="D49" s="310">
        <f>'TONG HOP'!I57</f>
        <v>4.6749999999999998</v>
      </c>
    </row>
    <row r="50" spans="1:4">
      <c r="A50" s="310">
        <f>'TONG HOP'!A58</f>
        <v>40</v>
      </c>
      <c r="B50" s="310" t="str">
        <f>'TONG HOP'!C58</f>
        <v>Thép tấm 320x120x12</v>
      </c>
      <c r="C50" s="310" t="str">
        <f>'TONG HOP'!D58</f>
        <v>Tấn</v>
      </c>
      <c r="D50" s="310">
        <f>'TONG HOP'!I58</f>
        <v>0.29299999999999998</v>
      </c>
    </row>
    <row r="51" spans="1:4">
      <c r="A51" s="310">
        <f>'TONG HOP'!A59</f>
        <v>41</v>
      </c>
      <c r="B51" s="310" t="str">
        <f>'TONG HOP'!C59</f>
        <v>Thép tấm nối cọc</v>
      </c>
      <c r="C51" s="310" t="str">
        <f>'TONG HOP'!D59</f>
        <v>Tấn</v>
      </c>
      <c r="D51" s="310">
        <f>'TONG HOP'!I59</f>
        <v>2.5950000000000002</v>
      </c>
    </row>
    <row r="52" spans="1:4">
      <c r="A52" s="310">
        <f>'TONG HOP'!A60</f>
        <v>42</v>
      </c>
      <c r="B52" s="310" t="str">
        <f>'TONG HOP'!C60</f>
        <v>Thép hình nối cọc</v>
      </c>
      <c r="C52" s="310" t="str">
        <f>'TONG HOP'!D60</f>
        <v>Tấn</v>
      </c>
      <c r="D52" s="310">
        <f>'TONG HOP'!I60</f>
        <v>0.18099999999999999</v>
      </c>
    </row>
    <row r="53" spans="1:4">
      <c r="A53" s="310">
        <f>'TONG HOP'!A61</f>
        <v>43</v>
      </c>
      <c r="B53" s="310" t="str">
        <f>'TONG HOP'!C61</f>
        <v>Đóng cọc thẳng</v>
      </c>
      <c r="C53" s="310" t="str">
        <f>'TONG HOP'!D61</f>
        <v>100m</v>
      </c>
      <c r="D53" s="310">
        <f>'TONG HOP'!I61</f>
        <v>2.46</v>
      </c>
    </row>
    <row r="54" spans="1:4">
      <c r="A54" s="310">
        <f>'TONG HOP'!A62</f>
        <v>44</v>
      </c>
      <c r="B54" s="310" t="str">
        <f>'TONG HOP'!C62</f>
        <v>Nối cọc bê tông cốt thép, kích thước cọc 35x35 (cm)</v>
      </c>
      <c r="C54" s="310" t="str">
        <f>'TONG HOP'!D62</f>
        <v>Mối nối</v>
      </c>
      <c r="D54" s="310">
        <f>'TONG HOP'!I62</f>
        <v>12</v>
      </c>
    </row>
    <row r="55" spans="1:4">
      <c r="A55" s="310">
        <f>'TONG HOP'!A63</f>
        <v>45</v>
      </c>
      <c r="B55" s="310" t="str">
        <f>'TONG HOP'!C63</f>
        <v>Đập đầu cọc</v>
      </c>
      <c r="C55" s="310" t="str">
        <f>'TONG HOP'!D63</f>
        <v>m3</v>
      </c>
      <c r="D55" s="310">
        <f ca="1">'TONG HOP'!I63</f>
        <v>0.40400000000000003</v>
      </c>
    </row>
    <row r="56" spans="1:4">
      <c r="A56" s="310">
        <f>'TONG HOP'!A64</f>
        <v>46</v>
      </c>
      <c r="B56" s="310" t="str">
        <f>'TONG HOP'!C64</f>
        <v>Vận chuyển đất, cát đổ đi bằng tàu kéo 360 CV, xà lan 400 tấn, vận chuyển 1 km đầu</v>
      </c>
      <c r="C56" s="310" t="str">
        <f>'TONG HOP'!D64</f>
        <v>100m3</v>
      </c>
      <c r="D56" s="311">
        <f ca="1">'TONG HOP'!I64</f>
        <v>4.0400000000000002E-3</v>
      </c>
    </row>
    <row r="57" spans="1:4">
      <c r="A57" s="310">
        <f>'TONG HOP'!A65</f>
        <v>47</v>
      </c>
      <c r="B57" s="310" t="str">
        <f>'TONG HOP'!C65</f>
        <v>Vận chuyển đất, cát đổ đi bằng tàu kéo 360 CV, xà lan 400 tấn, vận chuyển 1 km tiếp theo 5km, cự ly &lt;=6 km</v>
      </c>
      <c r="C57" s="310" t="str">
        <f>'TONG HOP'!D65</f>
        <v>100m3</v>
      </c>
      <c r="D57" s="311">
        <f ca="1">'TONG HOP'!I65</f>
        <v>4.0400000000000002E-3</v>
      </c>
    </row>
    <row r="58" spans="1:4">
      <c r="A58" s="310">
        <f>'TONG HOP'!A66</f>
        <v>48</v>
      </c>
      <c r="B58" s="310" t="str">
        <f>'TONG HOP'!C66</f>
        <v>Đào xúc phế thải bằng máy đào &lt;=0,8 m3 và máy ủi &lt;=110 CV</v>
      </c>
      <c r="C58" s="310" t="str">
        <f>'TONG HOP'!D66</f>
        <v>100m3</v>
      </c>
      <c r="D58" s="311">
        <f ca="1">'TONG HOP'!I66</f>
        <v>4.0400000000000002E-3</v>
      </c>
    </row>
    <row r="59" spans="1:4">
      <c r="A59" s="310">
        <f>'TONG HOP'!A67</f>
        <v>49</v>
      </c>
      <c r="B59" s="310" t="str">
        <f>'TONG HOP'!C67</f>
        <v>Bốc xếp cọc BTCT bằng cơ giới, số lượng bốc xếp lên</v>
      </c>
      <c r="C59" s="310" t="str">
        <f>'TONG HOP'!D67</f>
        <v>Tấn</v>
      </c>
      <c r="D59" s="310">
        <f ca="1">'TONG HOP'!I67</f>
        <v>76.706999999999994</v>
      </c>
    </row>
    <row r="60" spans="1:4">
      <c r="A60" s="310">
        <f>'TONG HOP'!A68</f>
        <v>50</v>
      </c>
      <c r="B60" s="310" t="str">
        <f>'TONG HOP'!C68</f>
        <v>Bốc xếp cọc BTCT bằng cơ giới, số lượng bốc xếp xuống</v>
      </c>
      <c r="C60" s="310" t="str">
        <f>'TONG HOP'!D68</f>
        <v>Tấn</v>
      </c>
      <c r="D60" s="310">
        <f ca="1">'TONG HOP'!I68</f>
        <v>76.706999999999994</v>
      </c>
    </row>
    <row r="61" spans="1:4">
      <c r="A61" s="310">
        <f>'TONG HOP'!A69</f>
        <v>51</v>
      </c>
      <c r="B61" s="310" t="str">
        <f>'TONG HOP'!C69</f>
        <v>Quét nhựa đường</v>
      </c>
      <c r="C61" s="310" t="str">
        <f>'TONG HOP'!D69</f>
        <v>m2</v>
      </c>
      <c r="D61" s="310">
        <f ca="1">'TONG HOP'!I69</f>
        <v>14.28</v>
      </c>
    </row>
    <row r="62" spans="1:4">
      <c r="A62" s="310">
        <f>'TONG HOP'!A70</f>
        <v>52</v>
      </c>
      <c r="B62" s="310" t="str">
        <f>'TONG HOP'!C70</f>
        <v xml:space="preserve">Vận chuyển cọc </v>
      </c>
      <c r="C62" s="310" t="str">
        <f>'TONG HOP'!D70</f>
        <v>100m3</v>
      </c>
      <c r="D62" s="310">
        <f ca="1">'TONG HOP'!I70</f>
        <v>0.27779999999999999</v>
      </c>
    </row>
    <row r="64" spans="1:4">
      <c r="A64" s="310" t="str">
        <f>'TONG HOP'!A71</f>
        <v>*</v>
      </c>
      <c r="B64" s="310" t="str">
        <f>'TONG HOP'!C71</f>
        <v>TƯỜNG BTCT</v>
      </c>
    </row>
    <row r="65" spans="1:4">
      <c r="A65" s="310">
        <f>'TONG HOP'!A72</f>
        <v>53</v>
      </c>
      <c r="B65" s="310" t="str">
        <f>'TONG HOP'!C72</f>
        <v>BT lót móng đá 1x2 M150 dày 10cm</v>
      </c>
      <c r="C65" s="310" t="str">
        <f>'TONG HOP'!D72</f>
        <v>m3</v>
      </c>
      <c r="D65" s="310">
        <f ca="1">'TONG HOP'!I72</f>
        <v>206.46</v>
      </c>
    </row>
    <row r="66" spans="1:4">
      <c r="A66" s="310">
        <f>'TONG HOP'!A73</f>
        <v>54</v>
      </c>
      <c r="B66" s="310" t="str">
        <f>'TONG HOP'!C73</f>
        <v>BT bản đáy đá 1x2 M300 dày 50cm</v>
      </c>
      <c r="C66" s="310" t="str">
        <f>'TONG HOP'!D73</f>
        <v>m3</v>
      </c>
      <c r="D66" s="310">
        <f ca="1">'TONG HOP'!I73</f>
        <v>1011.825</v>
      </c>
    </row>
    <row r="67" spans="1:4">
      <c r="A67" s="310">
        <f>'TONG HOP'!A74</f>
        <v>55</v>
      </c>
      <c r="B67" s="310" t="str">
        <f>'TONG HOP'!C74</f>
        <v>BT tường đá 1x2 M300 dày từ 30-50cm</v>
      </c>
      <c r="C67" s="310" t="str">
        <f>'TONG HOP'!D74</f>
        <v>m3</v>
      </c>
      <c r="D67" s="310">
        <f ca="1">'TONG HOP'!I74</f>
        <v>524.01499999999999</v>
      </c>
    </row>
    <row r="68" spans="1:4">
      <c r="A68" s="310">
        <f>'TONG HOP'!A75</f>
        <v>56</v>
      </c>
      <c r="B68" s="310" t="str">
        <f>'TONG HOP'!C75</f>
        <v>BT tường sườn đá 1x2 M300 dày 30cm</v>
      </c>
      <c r="C68" s="310" t="str">
        <f>'TONG HOP'!D75</f>
        <v>m3</v>
      </c>
      <c r="D68" s="310">
        <f ca="1">'TONG HOP'!I75</f>
        <v>50.48</v>
      </c>
    </row>
    <row r="69" spans="1:4">
      <c r="A69" s="310">
        <f>'TONG HOP'!A76</f>
        <v>57</v>
      </c>
      <c r="B69" s="310" t="str">
        <f>'TONG HOP'!C76</f>
        <v>Thép bản đáy D&lt;=10mm</v>
      </c>
      <c r="C69" s="310" t="str">
        <f>'TONG HOP'!D76</f>
        <v>Tấn</v>
      </c>
      <c r="D69" s="310">
        <f>'TONG HOP'!I76</f>
        <v>1.077</v>
      </c>
    </row>
    <row r="70" spans="1:4">
      <c r="A70" s="310">
        <f>'TONG HOP'!A77</f>
        <v>58</v>
      </c>
      <c r="B70" s="310" t="str">
        <f>'TONG HOP'!C77</f>
        <v>Thép bản đáy D&lt;=18mm</v>
      </c>
      <c r="C70" s="310" t="str">
        <f>'TONG HOP'!D77</f>
        <v>Tấn</v>
      </c>
      <c r="D70" s="310">
        <f>'TONG HOP'!I77</f>
        <v>39.850999999999999</v>
      </c>
    </row>
    <row r="71" spans="1:4">
      <c r="A71" s="310">
        <f>'TONG HOP'!A78</f>
        <v>59</v>
      </c>
      <c r="B71" s="310" t="str">
        <f>'TONG HOP'!C78</f>
        <v>Thép tường D&lt;=10mm</v>
      </c>
      <c r="C71" s="310" t="str">
        <f>'TONG HOP'!D78</f>
        <v>Tấn</v>
      </c>
      <c r="D71" s="310">
        <f>'TONG HOP'!I78</f>
        <v>0.84599999999999997</v>
      </c>
    </row>
    <row r="72" spans="1:4">
      <c r="A72" s="310">
        <f>'TONG HOP'!A79</f>
        <v>60</v>
      </c>
      <c r="B72" s="310" t="str">
        <f>'TONG HOP'!C79</f>
        <v>Thép tường D&lt;=18mm</v>
      </c>
      <c r="C72" s="310" t="str">
        <f>'TONG HOP'!D79</f>
        <v>Tấn</v>
      </c>
      <c r="D72" s="310">
        <f>'TONG HOP'!I79</f>
        <v>33.731999999999999</v>
      </c>
    </row>
    <row r="73" spans="1:4">
      <c r="A73" s="310">
        <f>'TONG HOP'!A80</f>
        <v>61</v>
      </c>
      <c r="B73" s="310" t="str">
        <f>'TONG HOP'!C80</f>
        <v>Thép tường sườn D&lt;=18mm</v>
      </c>
      <c r="C73" s="310" t="str">
        <f>'TONG HOP'!D80</f>
        <v>Tấn</v>
      </c>
      <c r="D73" s="310">
        <f>'TONG HOP'!I80</f>
        <v>20.369</v>
      </c>
    </row>
    <row r="74" spans="1:4">
      <c r="A74" s="310">
        <f>'TONG HOP'!A81</f>
        <v>62</v>
      </c>
      <c r="B74" s="310" t="str">
        <f>'TONG HOP'!C81</f>
        <v>Ván khuôn bê tông lót</v>
      </c>
      <c r="C74" s="310" t="str">
        <f>'TONG HOP'!D81</f>
        <v>100m2</v>
      </c>
      <c r="D74" s="310">
        <f ca="1">'TONG HOP'!I81</f>
        <v>1.1279999999999999</v>
      </c>
    </row>
    <row r="75" spans="1:4">
      <c r="A75" s="310">
        <f>'TONG HOP'!A82</f>
        <v>63</v>
      </c>
      <c r="B75" s="310" t="str">
        <f>'TONG HOP'!C82</f>
        <v>Ván khuôn bản đáy</v>
      </c>
      <c r="C75" s="310" t="str">
        <f>'TONG HOP'!D82</f>
        <v>100m2</v>
      </c>
      <c r="D75" s="310">
        <f ca="1">'TONG HOP'!I82</f>
        <v>5.5970000000000004</v>
      </c>
    </row>
    <row r="76" spans="1:4">
      <c r="A76" s="310">
        <f>'TONG HOP'!A83</f>
        <v>64</v>
      </c>
      <c r="B76" s="310" t="str">
        <f>'TONG HOP'!C83</f>
        <v>Ván khuôn tường</v>
      </c>
      <c r="C76" s="310" t="str">
        <f>'TONG HOP'!D83</f>
        <v>100m2</v>
      </c>
      <c r="D76" s="310">
        <f ca="1">'TONG HOP'!I83</f>
        <v>26.988</v>
      </c>
    </row>
    <row r="77" spans="1:4">
      <c r="A77" s="310">
        <f>'TONG HOP'!A84</f>
        <v>65</v>
      </c>
      <c r="B77" s="310" t="str">
        <f>'TONG HOP'!C84</f>
        <v>Ván khuôn tường sườn</v>
      </c>
      <c r="C77" s="310" t="str">
        <f>'TONG HOP'!D84</f>
        <v>100m2</v>
      </c>
      <c r="D77" s="310">
        <f ca="1">'TONG HOP'!I84</f>
        <v>4.2679999999999998</v>
      </c>
    </row>
    <row r="78" spans="1:4">
      <c r="A78" s="310">
        <f>'TONG HOP'!A85</f>
        <v>66</v>
      </c>
      <c r="B78" s="310" t="str">
        <f>'TONG HOP'!C85</f>
        <v>Ống nhựa PVC Þ49mm</v>
      </c>
      <c r="C78" s="310" t="str">
        <f>'TONG HOP'!D85</f>
        <v>m</v>
      </c>
      <c r="D78" s="310">
        <f ca="1">'TONG HOP'!I85</f>
        <v>483</v>
      </c>
    </row>
    <row r="79" spans="1:4">
      <c r="A79" s="310">
        <f>'TONG HOP'!A86</f>
        <v>67</v>
      </c>
      <c r="B79" s="310" t="str">
        <f>'TONG HOP'!C86</f>
        <v>Khớp nối PVC KN92</v>
      </c>
      <c r="C79" s="310" t="str">
        <f>'TONG HOP'!D86</f>
        <v>m</v>
      </c>
      <c r="D79" s="310">
        <f ca="1">'TONG HOP'!I86</f>
        <v>268</v>
      </c>
    </row>
    <row r="80" spans="1:4">
      <c r="A80" s="310">
        <f>'TONG HOP'!A87</f>
        <v>68</v>
      </c>
      <c r="B80" s="310" t="str">
        <f>'TONG HOP'!C87</f>
        <v>Ống nối PVC</v>
      </c>
      <c r="C80" s="310" t="str">
        <f>'TONG HOP'!D87</f>
        <v>Cái</v>
      </c>
      <c r="D80" s="310">
        <f ca="1">'TONG HOP'!I87</f>
        <v>183</v>
      </c>
    </row>
    <row r="82" spans="1:4">
      <c r="A82" s="310" t="str">
        <f>'TONG HOP'!A89</f>
        <v>*</v>
      </c>
      <c r="B82" s="310" t="str">
        <f>'TONG HOP'!C89</f>
        <v>LAN CAN</v>
      </c>
    </row>
    <row r="83" spans="1:4">
      <c r="A83" s="310">
        <f>'TONG HOP'!A90</f>
        <v>69</v>
      </c>
      <c r="B83" s="310" t="str">
        <f>'TONG HOP'!C90</f>
        <v>Sản xuất thép trụ mặt ngoài</v>
      </c>
      <c r="C83" s="310" t="str">
        <f>'TONG HOP'!D90</f>
        <v>Tấn</v>
      </c>
      <c r="D83" s="310">
        <f ca="1">'TONG HOP'!I90</f>
        <v>2.6869999999999998</v>
      </c>
    </row>
    <row r="84" spans="1:4">
      <c r="A84" s="310">
        <f>'TONG HOP'!A91</f>
        <v>70</v>
      </c>
      <c r="B84" s="310" t="str">
        <f>'TONG HOP'!C91</f>
        <v>Mạ kẽm trụ lan can</v>
      </c>
      <c r="C84" s="310" t="str">
        <f>'TONG HOP'!D91</f>
        <v>Tấn</v>
      </c>
      <c r="D84" s="310">
        <f ca="1">'TONG HOP'!I91</f>
        <v>2.6869999999999998</v>
      </c>
    </row>
    <row r="85" spans="1:4">
      <c r="A85" s="310">
        <f>'TONG HOP'!A92</f>
        <v>71</v>
      </c>
      <c r="B85" s="310" t="str">
        <f>'TONG HOP'!C92</f>
        <v>Ống thép tráng kẽm Þ76mm dày 3mm</v>
      </c>
      <c r="C85" s="310" t="str">
        <f>'TONG HOP'!D92</f>
        <v>Tấn</v>
      </c>
      <c r="D85" s="310">
        <f ca="1">'TONG HOP'!I92</f>
        <v>2.5619999999999998</v>
      </c>
    </row>
    <row r="86" spans="1:4">
      <c r="A86" s="310">
        <f>'TONG HOP'!A93</f>
        <v>72</v>
      </c>
      <c r="B86" s="310" t="str">
        <f>'TONG HOP'!C93</f>
        <v>Ống thép tráng kẽm Þ60mm dày 2.5mm</v>
      </c>
      <c r="C86" s="310" t="str">
        <f>'TONG HOP'!D93</f>
        <v>Tấn</v>
      </c>
      <c r="D86" s="310">
        <f ca="1">'TONG HOP'!I93</f>
        <v>3.294</v>
      </c>
    </row>
    <row r="87" spans="1:4">
      <c r="A87" s="310">
        <f>'TONG HOP'!A94</f>
        <v>73</v>
      </c>
      <c r="B87" s="310" t="str">
        <f>'TONG HOP'!C94</f>
        <v>Lắp dựng lan can</v>
      </c>
      <c r="C87" s="310" t="str">
        <f>'TONG HOP'!D94</f>
        <v>m2</v>
      </c>
      <c r="D87" s="310">
        <f ca="1">'TONG HOP'!I94</f>
        <v>373.04</v>
      </c>
    </row>
    <row r="88" spans="1:4">
      <c r="A88" s="310">
        <f>'TONG HOP'!A95</f>
        <v>74</v>
      </c>
      <c r="B88" s="310" t="str">
        <f>'TONG HOP'!C95</f>
        <v>Bulong Þ16</v>
      </c>
      <c r="C88" s="310" t="str">
        <f>'TONG HOP'!D95</f>
        <v>Bộ</v>
      </c>
      <c r="D88" s="310">
        <f ca="1">'TONG HOP'!I95</f>
        <v>780</v>
      </c>
    </row>
    <row r="90" spans="1:4">
      <c r="A90" s="310" t="str">
        <f>'TONG HOP'!A99</f>
        <v>*</v>
      </c>
      <c r="B90" s="310" t="str">
        <f>'TONG HOP'!C99</f>
        <v>SÀN ĐẠO ĐÓNG CỌC ĐẠI TRÀ</v>
      </c>
    </row>
    <row r="91" spans="1:4">
      <c r="A91" s="310">
        <f>'TONG HOP'!A100</f>
        <v>75</v>
      </c>
      <c r="B91" s="310" t="str">
        <f>'TONG HOP'!C100</f>
        <v>Tổng khối lượng 1 khung sàn đạo</v>
      </c>
      <c r="C91" s="310" t="str">
        <f>'TONG HOP'!D100</f>
        <v>Tấn</v>
      </c>
      <c r="D91" s="310">
        <f>'TONG HOP'!I100</f>
        <v>15.164999999999999</v>
      </c>
    </row>
    <row r="92" spans="1:4">
      <c r="A92" s="310">
        <f>'TONG HOP'!A104</f>
        <v>76</v>
      </c>
      <c r="B92" s="310" t="str">
        <f>'TONG HOP'!C104</f>
        <v>Khấu hao cọc sàn đạo</v>
      </c>
      <c r="C92" s="310" t="str">
        <f>'TONG HOP'!D104</f>
        <v>Tấn</v>
      </c>
      <c r="D92" s="310">
        <f ca="1">'TONG HOP'!I104</f>
        <v>17.885999999999999</v>
      </c>
    </row>
    <row r="93" spans="1:4">
      <c r="A93" s="310">
        <f>'TONG HOP'!A105</f>
        <v>77</v>
      </c>
      <c r="B93" s="310" t="str">
        <f>'TONG HOP'!C105</f>
        <v>Khấu hao khung sàn đạo</v>
      </c>
      <c r="C93" s="310" t="str">
        <f>'TONG HOP'!D105</f>
        <v>Tấn</v>
      </c>
      <c r="D93" s="310">
        <f ca="1">'TONG HOP'!I105</f>
        <v>16.827000000000002</v>
      </c>
    </row>
    <row r="94" spans="1:4">
      <c r="A94" s="310">
        <f>'TONG HOP'!A106</f>
        <v>78</v>
      </c>
      <c r="B94" s="310" t="str">
        <f>'TONG HOP'!C106</f>
        <v>Khấu hao khung định vị cọc</v>
      </c>
      <c r="C94" s="310" t="str">
        <f>'TONG HOP'!D106</f>
        <v>Tấn</v>
      </c>
      <c r="D94" s="310">
        <f ca="1">'TONG HOP'!I106</f>
        <v>8.2430000000000003</v>
      </c>
    </row>
    <row r="95" spans="1:4">
      <c r="A95" s="310">
        <f>'TONG HOP'!A107</f>
        <v>79</v>
      </c>
      <c r="B95" s="310" t="str">
        <f>'TONG HOP'!C107</f>
        <v>Lắp dựng tháo dỡ khung sàn đạo</v>
      </c>
      <c r="C95" s="310" t="str">
        <f>'TONG HOP'!D107</f>
        <v>Tấn</v>
      </c>
      <c r="D95" s="310">
        <f ca="1">'TONG HOP'!I107</f>
        <v>352.40800000000002</v>
      </c>
    </row>
    <row r="96" spans="1:4">
      <c r="A96" s="310">
        <f>'TONG HOP'!A108</f>
        <v>80</v>
      </c>
      <c r="B96" s="310" t="str">
        <f>'TONG HOP'!C108</f>
        <v>Đóng cọc thép phần ngập trong đất</v>
      </c>
      <c r="C96" s="310" t="str">
        <f>'TONG HOP'!D108</f>
        <v>100m</v>
      </c>
      <c r="D96" s="310">
        <f ca="1">'TONG HOP'!I108</f>
        <v>17.82</v>
      </c>
    </row>
    <row r="97" spans="1:4">
      <c r="A97" s="310">
        <f>'TONG HOP'!A109</f>
        <v>81</v>
      </c>
      <c r="B97" s="310" t="str">
        <f>'TONG HOP'!C109</f>
        <v>Đóng cọc thép phần không ngập trong đất</v>
      </c>
      <c r="C97" s="310" t="str">
        <f>'TONG HOP'!D109</f>
        <v>100m</v>
      </c>
      <c r="D97" s="310">
        <f ca="1">'TONG HOP'!I109</f>
        <v>17.82</v>
      </c>
    </row>
    <row r="98" spans="1:4">
      <c r="A98" s="310">
        <f>'TONG HOP'!A110</f>
        <v>82</v>
      </c>
      <c r="B98" s="310" t="str">
        <f>'TONG HOP'!C110</f>
        <v xml:space="preserve">Nhổ cọc thép phần ngập đất </v>
      </c>
      <c r="C98" s="310" t="str">
        <f>'TONG HOP'!D110</f>
        <v>100m</v>
      </c>
      <c r="D98" s="310">
        <f ca="1">'TONG HOP'!I110</f>
        <v>17.82</v>
      </c>
    </row>
    <row r="99" spans="1:4">
      <c r="A99" s="310">
        <f>'TONG HOP'!A111</f>
        <v>83</v>
      </c>
      <c r="B99" s="310" t="str">
        <f>'TONG HOP'!C111</f>
        <v xml:space="preserve">Nhổ cọc thép phần không ngập đất </v>
      </c>
      <c r="C99" s="310" t="str">
        <f>'TONG HOP'!D111</f>
        <v>100m</v>
      </c>
      <c r="D99" s="310">
        <f ca="1">'TONG HOP'!I111</f>
        <v>17.82</v>
      </c>
    </row>
    <row r="101" spans="1:4">
      <c r="A101" s="310" t="str">
        <f>'TONG HOP'!A112</f>
        <v>*</v>
      </c>
      <c r="B101" s="310" t="str">
        <f>'TONG HOP'!C112</f>
        <v>SÀN ĐẠO ĐÓNG CỌC THỬ</v>
      </c>
    </row>
    <row r="102" spans="1:4">
      <c r="A102" s="310">
        <f>'TONG HOP'!A113</f>
        <v>84</v>
      </c>
      <c r="B102" s="310" t="str">
        <f>'TONG HOP'!C113</f>
        <v>Tổng khối lượng 1 khung sàn đạo</v>
      </c>
      <c r="C102" s="310" t="str">
        <f>'TONG HOP'!D113</f>
        <v>Tấn</v>
      </c>
      <c r="D102" s="310">
        <f>'TONG HOP'!I113</f>
        <v>7.4729999999999999</v>
      </c>
    </row>
    <row r="103" spans="1:4">
      <c r="A103" s="310">
        <f>'TONG HOP'!A116</f>
        <v>85</v>
      </c>
      <c r="B103" s="310" t="str">
        <f>'TONG HOP'!C116</f>
        <v>Khối lượng khấu hao cọc đóng sàn đạo</v>
      </c>
      <c r="C103" s="310" t="str">
        <f>'TONG HOP'!D116</f>
        <v>Tấn</v>
      </c>
      <c r="D103" s="310">
        <f ca="1">'TONG HOP'!I116</f>
        <v>1.4450000000000001</v>
      </c>
    </row>
    <row r="104" spans="1:4">
      <c r="A104" s="310">
        <f>'TONG HOP'!A117</f>
        <v>86</v>
      </c>
      <c r="B104" s="310" t="str">
        <f>'TONG HOP'!C117</f>
        <v>Khối lượng khấu hao khung sàn đạo</v>
      </c>
      <c r="C104" s="310" t="str">
        <f>'TONG HOP'!D117</f>
        <v>Tấn</v>
      </c>
      <c r="D104" s="310">
        <f ca="1">'TONG HOP'!I117</f>
        <v>0.3</v>
      </c>
    </row>
    <row r="105" spans="1:4">
      <c r="A105" s="310">
        <f>'TONG HOP'!A118</f>
        <v>87</v>
      </c>
      <c r="B105" s="310" t="str">
        <f>'TONG HOP'!C118</f>
        <v>Lắp dựng, tháo dỡ khung sàn đạo</v>
      </c>
      <c r="C105" s="310" t="str">
        <f>'TONG HOP'!D118</f>
        <v>Tấn</v>
      </c>
      <c r="D105" s="310">
        <f ca="1">'TONG HOP'!I118</f>
        <v>4.2300000000000004</v>
      </c>
    </row>
    <row r="106" spans="1:4">
      <c r="A106" s="310">
        <f>'TONG HOP'!A119</f>
        <v>88</v>
      </c>
      <c r="B106" s="310" t="str">
        <f>'TONG HOP'!C119</f>
        <v>Đóng cọc thép phần ngập trong đất</v>
      </c>
      <c r="C106" s="310" t="str">
        <f>'TONG HOP'!D119</f>
        <v>100m</v>
      </c>
      <c r="D106" s="310">
        <f ca="1">'TONG HOP'!I119</f>
        <v>2.16</v>
      </c>
    </row>
    <row r="107" spans="1:4">
      <c r="A107" s="310">
        <f>'TONG HOP'!A120</f>
        <v>89</v>
      </c>
      <c r="B107" s="310" t="str">
        <f>'TONG HOP'!C120</f>
        <v>Đóng cọc thép phần không ngập trong đất</v>
      </c>
      <c r="C107" s="310" t="str">
        <f>'TONG HOP'!D120</f>
        <v>100m</v>
      </c>
      <c r="D107" s="310">
        <f ca="1">'TONG HOP'!I120</f>
        <v>2.16</v>
      </c>
    </row>
    <row r="108" spans="1:4">
      <c r="A108" s="310">
        <f>'TONG HOP'!A121</f>
        <v>90</v>
      </c>
      <c r="B108" s="310" t="str">
        <f>'TONG HOP'!C121</f>
        <v xml:space="preserve">Nhổ cọc thép phần ngập đất </v>
      </c>
      <c r="C108" s="310" t="str">
        <f>'TONG HOP'!D121</f>
        <v>100m</v>
      </c>
      <c r="D108" s="310">
        <f ca="1">'TONG HOP'!I121</f>
        <v>2.16</v>
      </c>
    </row>
    <row r="109" spans="1:4">
      <c r="A109" s="310">
        <f>'TONG HOP'!A122</f>
        <v>91</v>
      </c>
      <c r="B109" s="310" t="str">
        <f>'TONG HOP'!C122</f>
        <v xml:space="preserve">Nhổ cọc thép phần không ngập đất </v>
      </c>
      <c r="C109" s="310" t="str">
        <f>'TONG HOP'!D122</f>
        <v>100m</v>
      </c>
      <c r="D109" s="310">
        <f ca="1">'TONG HOP'!I122</f>
        <v>2.16</v>
      </c>
    </row>
    <row r="111" spans="1:4">
      <c r="A111" s="310" t="str">
        <f>'TONG HOP'!A123</f>
        <v>*</v>
      </c>
      <c r="B111" s="310" t="str">
        <f>'TONG HOP'!C123</f>
        <v>KHUNG VÂY THI CÔNG</v>
      </c>
    </row>
    <row r="112" spans="1:4">
      <c r="A112" s="310">
        <f>'TONG HOP'!A124</f>
        <v>92</v>
      </c>
      <c r="B112" s="310" t="str">
        <f>'TONG HOP'!C124</f>
        <v>Tổng khối lượng sản xuất khung vây</v>
      </c>
      <c r="C112" s="310" t="str">
        <f>'TONG HOP'!D124</f>
        <v>Tấn</v>
      </c>
      <c r="D112" s="310">
        <f ca="1">'TONG HOP'!I124</f>
        <v>3.4540000000000002</v>
      </c>
    </row>
    <row r="113" spans="1:4">
      <c r="A113" s="310">
        <f>'TONG HOP'!A127</f>
        <v>93</v>
      </c>
      <c r="B113" s="310" t="str">
        <f>'TONG HOP'!C127</f>
        <v>Khấu hao cừ, cọc larsen</v>
      </c>
      <c r="C113" s="310" t="str">
        <f>'TONG HOP'!D127</f>
        <v>Tấn</v>
      </c>
      <c r="D113" s="310">
        <f ca="1">'TONG HOP'!I127</f>
        <v>70.563999999999993</v>
      </c>
    </row>
    <row r="114" spans="1:4">
      <c r="A114" s="310">
        <f>'TONG HOP'!A128</f>
        <v>94</v>
      </c>
      <c r="B114" s="310" t="str">
        <f>'TONG HOP'!C128</f>
        <v>Khấu hao thanh giằng</v>
      </c>
      <c r="C114" s="310" t="str">
        <f>'TONG HOP'!D128</f>
        <v>Tấn</v>
      </c>
      <c r="D114" s="310">
        <f ca="1">'TONG HOP'!I128</f>
        <v>2.9009999999999998</v>
      </c>
    </row>
    <row r="115" spans="1:4">
      <c r="A115" s="310">
        <f>'TONG HOP'!A129</f>
        <v>95</v>
      </c>
      <c r="B115" s="310" t="str">
        <f>'TONG HOP'!C129</f>
        <v>Lắp dựng tháo dỡ thanh giằng</v>
      </c>
      <c r="C115" s="310" t="str">
        <f>'TONG HOP'!D129</f>
        <v>Tấn</v>
      </c>
      <c r="D115" s="310">
        <f ca="1">'TONG HOP'!I129</f>
        <v>34.54</v>
      </c>
    </row>
    <row r="116" spans="1:4">
      <c r="A116" s="310">
        <f>'TONG HOP'!A130</f>
        <v>96</v>
      </c>
      <c r="B116" s="310" t="str">
        <f>'TONG HOP'!C130</f>
        <v>Đóng cừ larsen ngập đất</v>
      </c>
      <c r="C116" s="310" t="str">
        <f>'TONG HOP'!D130</f>
        <v>100m</v>
      </c>
      <c r="D116" s="310">
        <f ca="1">'TONG HOP'!I130</f>
        <v>153</v>
      </c>
    </row>
    <row r="117" spans="1:4">
      <c r="A117" s="310">
        <f>'TONG HOP'!A131</f>
        <v>97</v>
      </c>
      <c r="B117" s="310" t="str">
        <f>'TONG HOP'!C131</f>
        <v>Đóng cừ larsen không ngập đất</v>
      </c>
      <c r="C117" s="310" t="str">
        <f>'TONG HOP'!D131</f>
        <v>100m</v>
      </c>
      <c r="D117" s="310">
        <f ca="1">'TONG HOP'!I131</f>
        <v>51</v>
      </c>
    </row>
    <row r="118" spans="1:4">
      <c r="A118" s="310">
        <f>'TONG HOP'!A132</f>
        <v>98</v>
      </c>
      <c r="B118" s="310" t="str">
        <f>'TONG HOP'!C132</f>
        <v>Nhổ cừ larsen</v>
      </c>
      <c r="C118" s="310" t="str">
        <f>'TONG HOP'!D132</f>
        <v>100m</v>
      </c>
      <c r="D118" s="310">
        <f ca="1">'TONG HOP'!I132</f>
        <v>204</v>
      </c>
    </row>
    <row r="119" spans="1:4">
      <c r="A119" s="310">
        <f>'TONG HOP'!A133</f>
        <v>99</v>
      </c>
      <c r="B119" s="310" t="str">
        <f>'TONG HOP'!C133</f>
        <v>Đóng cọc thép ngập đất</v>
      </c>
      <c r="C119" s="310" t="str">
        <f>'TONG HOP'!D133</f>
        <v>100m</v>
      </c>
      <c r="D119" s="310">
        <f ca="1">'TONG HOP'!I133</f>
        <v>19.2</v>
      </c>
    </row>
    <row r="120" spans="1:4">
      <c r="A120" s="310">
        <f>'TONG HOP'!A134</f>
        <v>100</v>
      </c>
      <c r="B120" s="310" t="str">
        <f>'TONG HOP'!C134</f>
        <v>Đóng cọc thép không ngập đất</v>
      </c>
      <c r="C120" s="310" t="str">
        <f>'TONG HOP'!D134</f>
        <v>100m</v>
      </c>
      <c r="D120" s="310">
        <f ca="1">'TONG HOP'!I134</f>
        <v>4.8</v>
      </c>
    </row>
    <row r="121" spans="1:4">
      <c r="A121" s="310">
        <f>'TONG HOP'!A135</f>
        <v>101</v>
      </c>
      <c r="B121" s="310" t="str">
        <f>'TONG HOP'!C135</f>
        <v xml:space="preserve">Nhổ cọc thép ngập đất </v>
      </c>
      <c r="C121" s="310" t="str">
        <f>'TONG HOP'!D135</f>
        <v>100m</v>
      </c>
      <c r="D121" s="310">
        <f ca="1">'TONG HOP'!I135</f>
        <v>19.2</v>
      </c>
    </row>
    <row r="122" spans="1:4">
      <c r="A122" s="310">
        <f>'TONG HOP'!A136</f>
        <v>102</v>
      </c>
      <c r="B122" s="310" t="str">
        <f>'TONG HOP'!C136</f>
        <v xml:space="preserve">Nhổ cọc thép không ngập đất </v>
      </c>
      <c r="C122" s="310" t="str">
        <f>'TONG HOP'!D136</f>
        <v>100m</v>
      </c>
      <c r="D122" s="310">
        <f ca="1">'TONG HOP'!I136</f>
        <v>4.8</v>
      </c>
    </row>
    <row r="124" spans="1:4">
      <c r="A124" s="310" t="str">
        <f>'TONG HOP'!A137</f>
        <v>HM</v>
      </c>
      <c r="B124" s="310" t="str">
        <f>'TONG HOP'!C137</f>
        <v>THOÁT NƯỚC</v>
      </c>
    </row>
    <row r="125" spans="1:4">
      <c r="A125" s="310" t="str">
        <f>'TONG HOP'!A138</f>
        <v>*</v>
      </c>
      <c r="B125" s="310" t="str">
        <f>'TONG HOP'!C138</f>
        <v>HỐ GA D800</v>
      </c>
    </row>
    <row r="126" spans="1:4">
      <c r="A126" s="310">
        <f>'TONG HOP'!A140</f>
        <v>1</v>
      </c>
      <c r="B126" s="310" t="str">
        <f>'TONG HOP'!C140</f>
        <v>Bê tông lót đá 1x2 M150</v>
      </c>
      <c r="C126" s="310" t="str">
        <f>'TONG HOP'!D140</f>
        <v>m3</v>
      </c>
      <c r="D126" s="310">
        <f ca="1">'TONG HOP'!I140</f>
        <v>1.2800000000000002</v>
      </c>
    </row>
    <row r="127" spans="1:4">
      <c r="A127" s="310">
        <f>'TONG HOP'!A141</f>
        <v>2</v>
      </c>
      <c r="B127" s="310" t="str">
        <f>'TONG HOP'!C141</f>
        <v>Bê tông bản đáy đá 1x2 M250</v>
      </c>
      <c r="C127" s="310" t="str">
        <f>'TONG HOP'!D141</f>
        <v>m3</v>
      </c>
      <c r="D127" s="310">
        <f ca="1">'TONG HOP'!I141</f>
        <v>2.016</v>
      </c>
    </row>
    <row r="128" spans="1:4">
      <c r="A128" s="310">
        <f>'TONG HOP'!A142</f>
        <v>3</v>
      </c>
      <c r="B128" s="310" t="str">
        <f>'TONG HOP'!C142</f>
        <v>Bê tông tường đá 1x2 M250</v>
      </c>
      <c r="C128" s="310" t="str">
        <f>'TONG HOP'!D142</f>
        <v>m3</v>
      </c>
      <c r="D128" s="310">
        <f ca="1">'TONG HOP'!I142</f>
        <v>9.1876352000000008</v>
      </c>
    </row>
    <row r="129" spans="1:4">
      <c r="A129" s="310">
        <f>'TONG HOP'!A150</f>
        <v>4</v>
      </c>
      <c r="B129" s="310" t="str">
        <f>'TONG HOP'!C150</f>
        <v xml:space="preserve">Ván khuôn bê tông lót </v>
      </c>
      <c r="C129" s="310" t="str">
        <f>'TONG HOP'!D150</f>
        <v>100m2</v>
      </c>
      <c r="D129" s="310">
        <f>'TONG HOP'!I150</f>
        <v>2.8800000000000003E-2</v>
      </c>
    </row>
    <row r="130" spans="1:4">
      <c r="A130" s="310">
        <f>'TONG HOP'!A151</f>
        <v>5</v>
      </c>
      <c r="B130" s="310" t="str">
        <f>'TONG HOP'!C151</f>
        <v>Ván khuôn bản đáy</v>
      </c>
      <c r="C130" s="310" t="str">
        <f>'TONG HOP'!D151</f>
        <v>100m2</v>
      </c>
      <c r="D130" s="310">
        <f ca="1">'TONG HOP'!I151</f>
        <v>5.1200000000000009E-2</v>
      </c>
    </row>
    <row r="131" spans="1:4">
      <c r="A131" s="310">
        <f>'TONG HOP'!A152</f>
        <v>6</v>
      </c>
      <c r="B131" s="310" t="str">
        <f>'TONG HOP'!C152</f>
        <v>Ván khuôn bản tường</v>
      </c>
      <c r="C131" s="310" t="str">
        <f>'TONG HOP'!D152</f>
        <v>100m2</v>
      </c>
      <c r="D131" s="310">
        <f ca="1">'TONG HOP'!I152</f>
        <v>0.77796352000000002</v>
      </c>
    </row>
    <row r="132" spans="1:4">
      <c r="A132" s="310">
        <f>'TONG HOP'!A163</f>
        <v>7</v>
      </c>
      <c r="B132" s="310" t="str">
        <f>'TONG HOP'!C163</f>
        <v>Thép Þ&lt;=10mm</v>
      </c>
      <c r="C132" s="310" t="str">
        <f>'TONG HOP'!D163</f>
        <v>tấn</v>
      </c>
      <c r="D132" s="310">
        <f>'TONG HOP'!I163</f>
        <v>0.38131999999999999</v>
      </c>
    </row>
    <row r="133" spans="1:4">
      <c r="A133" s="310">
        <f>'TONG HOP'!A164</f>
        <v>8</v>
      </c>
      <c r="B133" s="310" t="str">
        <f>'TONG HOP'!C164</f>
        <v>Thép Þ&lt;=18mm</v>
      </c>
      <c r="C133" s="310" t="str">
        <f>'TONG HOP'!D164</f>
        <v>tấn</v>
      </c>
      <c r="D133" s="310">
        <f>'TONG HOP'!I164</f>
        <v>0.7602000000000001</v>
      </c>
    </row>
    <row r="134" spans="1:4">
      <c r="A134" s="310">
        <f>'TONG HOP'!A166</f>
        <v>9</v>
      </c>
      <c r="B134" s="310" t="str">
        <f>'TONG HOP'!C166</f>
        <v>Bê tông đá 1x2 M250</v>
      </c>
      <c r="C134" s="310" t="str">
        <f>'TONG HOP'!D166</f>
        <v>m3</v>
      </c>
      <c r="D134" s="310">
        <f ca="1">'TONG HOP'!I166</f>
        <v>0.39600000000000007</v>
      </c>
    </row>
    <row r="135" spans="1:4">
      <c r="A135" s="310">
        <f>'TONG HOP'!A167</f>
        <v>10</v>
      </c>
      <c r="B135" s="310" t="str">
        <f>'TONG HOP'!C167</f>
        <v>Thép Þ&lt;=10mm</v>
      </c>
      <c r="C135" s="310" t="str">
        <f>'TONG HOP'!D167</f>
        <v>tấn</v>
      </c>
      <c r="D135" s="310">
        <f>'TONG HOP'!I167</f>
        <v>2.4880000000000002E-3</v>
      </c>
    </row>
    <row r="136" spans="1:4">
      <c r="A136" s="310">
        <f>'TONG HOP'!A168</f>
        <v>11</v>
      </c>
      <c r="B136" s="310" t="str">
        <f>'TONG HOP'!C168</f>
        <v>Thép Þ&lt;=18mm</v>
      </c>
      <c r="C136" s="310" t="str">
        <f>'TONG HOP'!D168</f>
        <v>tấn</v>
      </c>
      <c r="D136" s="310">
        <f>'TONG HOP'!I168</f>
        <v>7.1444000000000007E-2</v>
      </c>
    </row>
    <row r="137" spans="1:4">
      <c r="A137" s="310">
        <f>'TONG HOP'!A169</f>
        <v>12</v>
      </c>
      <c r="B137" s="310" t="str">
        <f>'TONG HOP'!C169</f>
        <v>Thép bản</v>
      </c>
      <c r="C137" s="310" t="str">
        <f>'TONG HOP'!D169</f>
        <v>tấn</v>
      </c>
      <c r="D137" s="310">
        <f>'TONG HOP'!I169</f>
        <v>6.2799999999999995E-2</v>
      </c>
    </row>
    <row r="138" spans="1:4">
      <c r="A138" s="310">
        <f>'TONG HOP'!A170</f>
        <v>13</v>
      </c>
      <c r="B138" s="310" t="str">
        <f>'TONG HOP'!C170</f>
        <v xml:space="preserve">Ván khuôn nắp đan </v>
      </c>
      <c r="C138" s="310" t="str">
        <f>'TONG HOP'!D170</f>
        <v>100m2</v>
      </c>
      <c r="D138" s="310">
        <f ca="1">'TONG HOP'!I170</f>
        <v>1.6E-2</v>
      </c>
    </row>
    <row r="139" spans="1:4">
      <c r="A139" s="310">
        <f>'TONG HOP'!A172</f>
        <v>14</v>
      </c>
      <c r="B139" s="310" t="str">
        <f>'TONG HOP'!C172</f>
        <v>Ván khuôn</v>
      </c>
      <c r="C139" s="310" t="str">
        <f>'TONG HOP'!D172</f>
        <v>100m2</v>
      </c>
      <c r="D139" s="310">
        <f ca="1">'TONG HOP'!I172</f>
        <v>7.5200000000000003E-2</v>
      </c>
    </row>
    <row r="140" spans="1:4">
      <c r="A140" s="310">
        <f>'TONG HOP'!A176</f>
        <v>15</v>
      </c>
      <c r="B140" s="310" t="str">
        <f>'TONG HOP'!C176</f>
        <v>Bê tông đá 1x2 M250</v>
      </c>
      <c r="C140" s="310" t="str">
        <f>'TONG HOP'!D176</f>
        <v>m3</v>
      </c>
      <c r="D140" s="310">
        <f>'TONG HOP'!I176</f>
        <v>0</v>
      </c>
    </row>
    <row r="141" spans="1:4">
      <c r="A141" s="310">
        <f>'TONG HOP'!A180</f>
        <v>16</v>
      </c>
      <c r="B141" s="310" t="str">
        <f>'TONG HOP'!C180</f>
        <v>Thép Þ&lt;=10mm</v>
      </c>
      <c r="C141" s="310" t="str">
        <f>'TONG HOP'!D180</f>
        <v>Tấn</v>
      </c>
      <c r="D141" s="310">
        <f>'TONG HOP'!I180</f>
        <v>1.9960000000000002E-2</v>
      </c>
    </row>
    <row r="142" spans="1:4">
      <c r="A142" s="310">
        <f>'TONG HOP'!A181</f>
        <v>17</v>
      </c>
      <c r="B142" s="310" t="str">
        <f>'TONG HOP'!C181</f>
        <v>Thép Þ&lt;=18mm</v>
      </c>
      <c r="C142" s="310" t="str">
        <f>'TONG HOP'!D181</f>
        <v>Tấn</v>
      </c>
      <c r="D142" s="310">
        <f>'TONG HOP'!I181</f>
        <v>8.8800000000000004E-2</v>
      </c>
    </row>
    <row r="143" spans="1:4">
      <c r="A143" s="310">
        <f>'TONG HOP'!A182</f>
        <v>18</v>
      </c>
      <c r="B143" s="310" t="str">
        <f>'TONG HOP'!C182</f>
        <v>Thép hình</v>
      </c>
      <c r="C143" s="310" t="str">
        <f>'TONG HOP'!D182</f>
        <v>Tấn</v>
      </c>
      <c r="D143" s="310">
        <f>'TONG HOP'!I182</f>
        <v>8.8800000000000004E-2</v>
      </c>
    </row>
    <row r="144" spans="1:4">
      <c r="A144" s="310">
        <f>'TONG HOP'!A183</f>
        <v>19</v>
      </c>
      <c r="B144" s="310" t="str">
        <f>'TONG HOP'!C183</f>
        <v>Ống cống D800</v>
      </c>
      <c r="C144" s="310" t="str">
        <f>'TONG HOP'!D183</f>
        <v>m</v>
      </c>
      <c r="D144" s="310">
        <f>'TONG HOP'!I183</f>
        <v>11.6</v>
      </c>
    </row>
    <row r="145" spans="1:4">
      <c r="A145" s="310">
        <f>'TONG HOP'!A184</f>
        <v>20</v>
      </c>
      <c r="B145" s="310" t="str">
        <f>'TONG HOP'!C184</f>
        <v>Bốc dỡ cống bê tông đk 800mm</v>
      </c>
      <c r="C145" s="310" t="str">
        <f>'TONG HOP'!D184</f>
        <v>cái</v>
      </c>
      <c r="D145" s="310">
        <f>'TONG HOP'!I184</f>
        <v>4</v>
      </c>
    </row>
    <row r="146" spans="1:4">
      <c r="A146" s="310">
        <f>'TONG HOP'!A185</f>
        <v>21</v>
      </c>
      <c r="B146" s="310" t="str">
        <f>'TONG HOP'!C185</f>
        <v>Lắp đặt ống bê tông bằng cần trục, đường kính 800mm</v>
      </c>
      <c r="C146" s="310" t="str">
        <f>'TONG HOP'!D185</f>
        <v>Đoạn</v>
      </c>
      <c r="D146" s="310">
        <f>'TONG HOP'!I185</f>
        <v>4</v>
      </c>
    </row>
    <row r="148" spans="1:4">
      <c r="A148" s="310" t="str">
        <f>'TONG HOP'!A186</f>
        <v>*</v>
      </c>
      <c r="B148" s="310" t="str">
        <f>'TONG HOP'!C186</f>
        <v>CỬA VAN D800</v>
      </c>
    </row>
    <row r="149" spans="1:4">
      <c r="A149" s="310">
        <f>'TONG HOP'!A187</f>
        <v>22</v>
      </c>
      <c r="B149" s="310" t="str">
        <f>'TONG HOP'!C187</f>
        <v>Sản xuất thép cửa van</v>
      </c>
      <c r="C149" s="310" t="str">
        <f>'TONG HOP'!D187</f>
        <v>tấn</v>
      </c>
      <c r="D149" s="310">
        <f>'TONG HOP'!I187</f>
        <v>0.57113999999999998</v>
      </c>
    </row>
    <row r="150" spans="1:4">
      <c r="A150" s="310">
        <f>'TONG HOP'!A188</f>
        <v>23</v>
      </c>
      <c r="B150" s="310" t="str">
        <f>'TONG HOP'!C188</f>
        <v>Bu lông M16x50</v>
      </c>
      <c r="C150" s="310" t="str">
        <f>'TONG HOP'!D188</f>
        <v>bộ</v>
      </c>
      <c r="D150" s="310">
        <f>'TONG HOP'!I188</f>
        <v>16</v>
      </c>
    </row>
    <row r="151" spans="1:4">
      <c r="A151" s="310">
        <f>'TONG HOP'!A189</f>
        <v>24</v>
      </c>
      <c r="B151" s="310" t="str">
        <f>'TONG HOP'!C189</f>
        <v>Bu lông M16x150</v>
      </c>
      <c r="C151" s="310" t="str">
        <f>'TONG HOP'!D189</f>
        <v>bộ</v>
      </c>
      <c r="D151" s="310">
        <f>'TONG HOP'!I189</f>
        <v>72</v>
      </c>
    </row>
    <row r="152" spans="1:4">
      <c r="A152" s="310">
        <f>'TONG HOP'!A190</f>
        <v>25</v>
      </c>
      <c r="B152" s="310" t="str">
        <f>'TONG HOP'!C190</f>
        <v>Cao su cửa xả</v>
      </c>
      <c r="C152" s="310" t="str">
        <f>'TONG HOP'!D190</f>
        <v>m2</v>
      </c>
      <c r="D152" s="310">
        <f>'TONG HOP'!I190</f>
        <v>0.88439999999999996</v>
      </c>
    </row>
    <row r="154" spans="1:4">
      <c r="A154" s="310" t="str">
        <f>'TONG HOP'!A191</f>
        <v>*</v>
      </c>
      <c r="B154" s="310" t="str">
        <f>'TONG HOP'!C191</f>
        <v>RÃNH THOÁT NƯỚC DỌC</v>
      </c>
    </row>
    <row r="155" spans="1:4">
      <c r="A155" s="310">
        <f>'TONG HOP'!A193</f>
        <v>26</v>
      </c>
      <c r="B155" s="310" t="str">
        <f>'TONG HOP'!C193</f>
        <v xml:space="preserve">Bê tông lót đá 1x2 M150 </v>
      </c>
      <c r="C155" s="310" t="str">
        <f>'TONG HOP'!D193</f>
        <v>m3</v>
      </c>
      <c r="D155" s="310">
        <f>'TONG HOP'!I193</f>
        <v>33.839999999999996</v>
      </c>
    </row>
    <row r="156" spans="1:4">
      <c r="A156" s="310">
        <f>'TONG HOP'!A194</f>
        <v>27</v>
      </c>
      <c r="B156" s="310" t="str">
        <f>'TONG HOP'!C194</f>
        <v>Bê tông thân rãnh đá 1x2 M250</v>
      </c>
      <c r="C156" s="310" t="str">
        <f>'TONG HOP'!D194</f>
        <v>m3</v>
      </c>
      <c r="D156" s="310">
        <f>'TONG HOP'!I194</f>
        <v>84.96</v>
      </c>
    </row>
    <row r="157" spans="1:4">
      <c r="A157" s="310">
        <f>'TONG HOP'!A196</f>
        <v>28</v>
      </c>
      <c r="B157" s="310" t="str">
        <f>'TONG HOP'!C196</f>
        <v xml:space="preserve">Ván khuôn bê tông lót </v>
      </c>
      <c r="C157" s="310" t="str">
        <f>'TONG HOP'!D196</f>
        <v>100m2</v>
      </c>
      <c r="D157" s="310">
        <f>'TONG HOP'!I196</f>
        <v>0.96479999999999999</v>
      </c>
    </row>
    <row r="158" spans="1:4">
      <c r="A158" s="310">
        <f>'TONG HOP'!A197</f>
        <v>29</v>
      </c>
      <c r="B158" s="310" t="str">
        <f>'TONG HOP'!C197</f>
        <v>Ván khuôn thân rãnh</v>
      </c>
      <c r="C158" s="310" t="str">
        <f>'TONG HOP'!D197</f>
        <v>100m2</v>
      </c>
      <c r="D158" s="310">
        <f>'TONG HOP'!I197</f>
        <v>13.356</v>
      </c>
    </row>
    <row r="159" spans="1:4">
      <c r="A159" s="310">
        <f>'TONG HOP'!A199</f>
        <v>30</v>
      </c>
      <c r="B159" s="310" t="str">
        <f>'TONG HOP'!C199</f>
        <v>Thép Þ&lt;=10mm</v>
      </c>
      <c r="C159" s="310" t="str">
        <f>'TONG HOP'!D199</f>
        <v>Tấn</v>
      </c>
      <c r="D159" s="310">
        <f>'TONG HOP'!I199</f>
        <v>7.4340000000000011</v>
      </c>
    </row>
    <row r="160" spans="1:4">
      <c r="A160" s="310">
        <f>'TONG HOP'!A201</f>
        <v>31</v>
      </c>
      <c r="B160" s="310" t="str">
        <f>'TONG HOP'!C201</f>
        <v>Bê tông M250</v>
      </c>
      <c r="C160" s="310" t="str">
        <f>'TONG HOP'!D201</f>
        <v>m3</v>
      </c>
      <c r="D160" s="310">
        <f ca="1">'TONG HOP'!I201</f>
        <v>16.542400000000001</v>
      </c>
    </row>
    <row r="161" spans="1:4">
      <c r="A161" s="310">
        <f>'TONG HOP'!A202</f>
        <v>32</v>
      </c>
      <c r="B161" s="310" t="str">
        <f>'TONG HOP'!C202</f>
        <v>Thép Þ&lt;=10mm</v>
      </c>
      <c r="C161" s="310" t="str">
        <f>'TONG HOP'!D202</f>
        <v>Tấn</v>
      </c>
      <c r="D161" s="310">
        <f>'TONG HOP'!I202</f>
        <v>1.40526</v>
      </c>
    </row>
    <row r="162" spans="1:4">
      <c r="A162" s="310">
        <f>'TONG HOP'!A203</f>
        <v>33</v>
      </c>
      <c r="B162" s="310" t="str">
        <f>'TONG HOP'!C203</f>
        <v>Ván khuôn tấm đan</v>
      </c>
      <c r="C162" s="310" t="str">
        <f>'TONG HOP'!D203</f>
        <v>100m2</v>
      </c>
      <c r="D162" s="310">
        <f>'TONG HOP'!I203</f>
        <v>1.0127999999999999</v>
      </c>
    </row>
    <row r="163" spans="1:4">
      <c r="A163" s="310">
        <f>'TONG HOP'!A204</f>
        <v>34</v>
      </c>
      <c r="B163" s="310" t="str">
        <f>'TONG HOP'!C204</f>
        <v xml:space="preserve">Lắp đặt nắp đan </v>
      </c>
      <c r="C163" s="310" t="str">
        <f>'TONG HOP'!D204</f>
        <v>cái</v>
      </c>
      <c r="D163" s="310">
        <f>'TONG HOP'!I204</f>
        <v>385</v>
      </c>
    </row>
  </sheetData>
  <printOptions horizontalCentered="1"/>
  <pageMargins left="0.77777777777777779" right="0.3888888888888889" top="0.3888888888888889" bottom="0.3888888888888889" header="0.20833333333333334" footer="0.20833333333333334"/>
  <pageSetup paperSize="9" scale="96" fitToHeight="0" orientation="portrait" blackAndWhite="1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TONG HOP</vt:lpstr>
      <vt:lpstr>TƯƠNG</vt:lpstr>
      <vt:lpstr>TƯỜNG</vt:lpstr>
      <vt:lpstr>SD DAI TRA</vt:lpstr>
      <vt:lpstr>SD COC THU</vt:lpstr>
      <vt:lpstr>LAN CAN</vt:lpstr>
      <vt:lpstr>CỌC</vt:lpstr>
      <vt:lpstr>HO GA</vt:lpstr>
      <vt:lpstr>MUONG</vt:lpstr>
      <vt:lpstr>Đào đắp</vt:lpstr>
      <vt:lpstr>KV THI CÔNG</vt:lpstr>
      <vt:lpstr>THG8</vt:lpstr>
      <vt:lpstr>CỌC!Print_Area</vt:lpstr>
      <vt:lpstr>'Đào đắp'!Print_Area</vt:lpstr>
      <vt:lpstr>'HO GA'!Print_Area</vt:lpstr>
      <vt:lpstr>'LAN CAN'!Print_Area</vt:lpstr>
      <vt:lpstr>MUONG!Print_Area</vt:lpstr>
      <vt:lpstr>'SD DAI TRA'!Print_Area</vt:lpstr>
      <vt:lpstr>'TONG HOP'!Print_Area</vt:lpstr>
      <vt:lpstr>TƯƠNG!Print_Area</vt:lpstr>
      <vt:lpstr>TƯỜNG!Print_Area</vt:lpstr>
      <vt:lpstr>'THG8'!Print_Area</vt:lpstr>
      <vt:lpstr>'TONG HOP'!Print_Titles</vt:lpstr>
      <vt:lpstr>TƯƠNG!Print_Titles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rock lync</cp:lastModifiedBy>
  <cp:lastPrinted>2019-11-13T00:01:11Z</cp:lastPrinted>
  <dcterms:created xsi:type="dcterms:W3CDTF">2013-05-22T01:53:22Z</dcterms:created>
  <dcterms:modified xsi:type="dcterms:W3CDTF">2020-06-25T09:30:23Z</dcterms:modified>
</cp:coreProperties>
</file>